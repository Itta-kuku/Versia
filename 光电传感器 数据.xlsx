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<sst xmlns="http://schemas.openxmlformats.org/spreadsheetml/2006/main" count="67" uniqueCount="28">
  <si>
    <t>光敏电阻</t>
  </si>
  <si>
    <t>伏安特性</t>
  </si>
  <si>
    <t>37lux</t>
  </si>
  <si>
    <t>863lux</t>
  </si>
  <si>
    <t>1495lux</t>
  </si>
  <si>
    <t>U</t>
  </si>
  <si>
    <t>U_R</t>
  </si>
  <si>
    <t>U_Rp</t>
  </si>
  <si>
    <t>I_ph</t>
  </si>
  <si>
    <t>R_p</t>
  </si>
  <si>
    <t>光照特性</t>
  </si>
  <si>
    <t>7V</t>
  </si>
  <si>
    <t>8V</t>
  </si>
  <si>
    <t>9V</t>
  </si>
  <si>
    <t>光照度</t>
  </si>
  <si>
    <t>硅光电池</t>
  </si>
  <si>
    <t>R_x</t>
  </si>
  <si>
    <t>U_Rx</t>
  </si>
  <si>
    <t>P</t>
  </si>
  <si>
    <t>U_oc</t>
  </si>
  <si>
    <t>二极管</t>
  </si>
  <si>
    <t>339lux</t>
  </si>
  <si>
    <t>反偏压</t>
  </si>
  <si>
    <t>2V</t>
  </si>
  <si>
    <t>4V</t>
  </si>
  <si>
    <t>三极管</t>
  </si>
  <si>
    <t>U_CE</t>
  </si>
  <si>
    <t>I_c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</si>
</sst>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#,##0.000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7" fillId="21" borderId="1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4"/>
  <sheetViews>
    <sheetView tabSelected="1" workbookViewId="0">
      <selection activeCell="AJ10" sqref="AJ10"/>
    </sheetView>
  </sheetViews>
  <sheetFormatPr defaultColWidth="8.72727272727273" defaultRowHeight="14"/>
  <cols>
    <col min="3" max="3" width="12.8181818181818"/>
    <col min="4" max="4" width="12.8181818181818" style="1"/>
    <col min="5" max="5" width="12.9090909090909" style="1"/>
    <col min="6" max="9" width="12.8181818181818" style="1"/>
    <col min="10" max="12" width="12.9090909090909" style="1"/>
    <col min="13" max="17" width="12.9090909090909"/>
    <col min="18" max="24" width="12.8181818181818"/>
    <col min="25" max="32" width="12.9090909090909"/>
    <col min="33" max="35" width="9.54545454545454"/>
    <col min="36" max="36" width="12.8181818181818"/>
    <col min="37" max="37" width="11.8181818181818"/>
    <col min="38" max="39" width="12.8181818181818"/>
    <col min="40" max="47" width="12.9090909090909"/>
  </cols>
  <sheetData>
    <row r="1" s="1" customFormat="1" spans="1:23">
      <c r="A1" s="1" t="s">
        <v>0</v>
      </c>
      <c r="B1" s="1" t="s">
        <v>1</v>
      </c>
      <c r="C1" s="1" t="s">
        <v>2</v>
      </c>
      <c r="M1" s="1" t="s">
        <v>3</v>
      </c>
      <c r="W1" s="1" t="s">
        <v>4</v>
      </c>
    </row>
    <row r="2" s="2" customFormat="1" spans="2:32">
      <c r="B2" s="2" t="s">
        <v>5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3</v>
      </c>
      <c r="N2" s="2">
        <v>4</v>
      </c>
      <c r="O2" s="2">
        <v>5</v>
      </c>
      <c r="P2" s="2">
        <v>6</v>
      </c>
      <c r="Q2" s="2">
        <v>7</v>
      </c>
      <c r="R2" s="2">
        <v>8</v>
      </c>
      <c r="S2" s="2">
        <v>9</v>
      </c>
      <c r="T2" s="2">
        <v>10</v>
      </c>
      <c r="U2" s="2">
        <v>11</v>
      </c>
      <c r="V2" s="2">
        <v>12</v>
      </c>
      <c r="W2" s="2">
        <v>3</v>
      </c>
      <c r="X2" s="2">
        <v>4</v>
      </c>
      <c r="Y2" s="2">
        <v>5</v>
      </c>
      <c r="Z2" s="2">
        <v>6</v>
      </c>
      <c r="AA2" s="2">
        <v>7</v>
      </c>
      <c r="AB2" s="2">
        <v>8</v>
      </c>
      <c r="AC2" s="2">
        <v>9</v>
      </c>
      <c r="AD2" s="2">
        <v>10</v>
      </c>
      <c r="AE2" s="2">
        <v>11</v>
      </c>
      <c r="AF2" s="2">
        <v>12</v>
      </c>
    </row>
    <row r="3" s="2" customFormat="1" spans="2:32">
      <c r="B3" s="2" t="s">
        <v>6</v>
      </c>
      <c r="C3" s="2">
        <v>194.54</v>
      </c>
      <c r="D3" s="2">
        <v>260.16</v>
      </c>
      <c r="E3" s="2">
        <v>326.35</v>
      </c>
      <c r="F3" s="2">
        <v>393.14</v>
      </c>
      <c r="G3" s="2">
        <v>460.55</v>
      </c>
      <c r="H3" s="2">
        <v>528</v>
      </c>
      <c r="I3" s="2">
        <v>596.45</v>
      </c>
      <c r="J3" s="2">
        <v>665.55</v>
      </c>
      <c r="K3" s="2">
        <v>735.38</v>
      </c>
      <c r="L3" s="2">
        <v>805.8</v>
      </c>
      <c r="M3" s="2">
        <v>0.7854</v>
      </c>
      <c r="N3" s="2">
        <v>1.0457</v>
      </c>
      <c r="O3" s="2">
        <v>1.3102</v>
      </c>
      <c r="P3" s="2">
        <v>1.5769</v>
      </c>
      <c r="Q3" s="2">
        <v>1.8463</v>
      </c>
      <c r="R3" s="2">
        <v>2.1179</v>
      </c>
      <c r="S3" s="2">
        <v>2.3924</v>
      </c>
      <c r="T3" s="2">
        <v>2.6705</v>
      </c>
      <c r="U3" s="2">
        <v>2.9562</v>
      </c>
      <c r="V3" s="2">
        <v>3.2391</v>
      </c>
      <c r="W3" s="2">
        <v>1.0121</v>
      </c>
      <c r="X3" s="2">
        <v>1.3499</v>
      </c>
      <c r="Y3" s="2">
        <v>1.6894</v>
      </c>
      <c r="Z3" s="2">
        <v>2.0305</v>
      </c>
      <c r="AA3" s="2">
        <v>2.3736</v>
      </c>
      <c r="AB3" s="2">
        <v>2.7179</v>
      </c>
      <c r="AC3" s="2">
        <v>3.0657</v>
      </c>
      <c r="AD3" s="2">
        <v>3.4159</v>
      </c>
      <c r="AE3" s="2">
        <v>3.7679</v>
      </c>
      <c r="AF3" s="2">
        <v>4.1219</v>
      </c>
    </row>
    <row r="4" s="2" customFormat="1" spans="2:32">
      <c r="B4" s="2" t="s">
        <v>7</v>
      </c>
      <c r="C4" s="2">
        <f>C2-C3/1000</f>
        <v>2.80546</v>
      </c>
      <c r="D4" s="2">
        <f t="shared" ref="D4:L4" si="0">D2-D3/1000</f>
        <v>3.73984</v>
      </c>
      <c r="E4" s="2">
        <f t="shared" si="0"/>
        <v>4.67365</v>
      </c>
      <c r="F4" s="2">
        <f t="shared" si="0"/>
        <v>5.60686</v>
      </c>
      <c r="G4" s="2">
        <f t="shared" si="0"/>
        <v>6.53945</v>
      </c>
      <c r="H4" s="2">
        <f t="shared" si="0"/>
        <v>7.472</v>
      </c>
      <c r="I4" s="2">
        <f t="shared" si="0"/>
        <v>8.40355</v>
      </c>
      <c r="J4" s="2">
        <f t="shared" si="0"/>
        <v>9.33445</v>
      </c>
      <c r="K4" s="2">
        <f t="shared" si="0"/>
        <v>10.26462</v>
      </c>
      <c r="L4" s="2">
        <f t="shared" si="0"/>
        <v>11.1942</v>
      </c>
      <c r="M4" s="2">
        <f>M2-M3</f>
        <v>2.2146</v>
      </c>
      <c r="N4" s="2">
        <f t="shared" ref="N4:V4" si="1">N2-N3</f>
        <v>2.9543</v>
      </c>
      <c r="O4" s="2">
        <f t="shared" si="1"/>
        <v>3.6898</v>
      </c>
      <c r="P4" s="2">
        <f t="shared" si="1"/>
        <v>4.4231</v>
      </c>
      <c r="Q4" s="2">
        <f t="shared" si="1"/>
        <v>5.1537</v>
      </c>
      <c r="R4" s="2">
        <f t="shared" si="1"/>
        <v>5.8821</v>
      </c>
      <c r="S4" s="2">
        <f t="shared" si="1"/>
        <v>6.6076</v>
      </c>
      <c r="T4" s="2">
        <f t="shared" si="1"/>
        <v>7.3295</v>
      </c>
      <c r="U4" s="2">
        <f t="shared" si="1"/>
        <v>8.0438</v>
      </c>
      <c r="V4" s="2">
        <f t="shared" si="1"/>
        <v>8.7609</v>
      </c>
      <c r="W4" s="2">
        <f>W2-W3</f>
        <v>1.9879</v>
      </c>
      <c r="X4" s="2">
        <f t="shared" ref="X4:AF4" si="2">X2-X3</f>
        <v>2.6501</v>
      </c>
      <c r="Y4" s="2">
        <f t="shared" si="2"/>
        <v>3.3106</v>
      </c>
      <c r="Z4" s="2">
        <f t="shared" si="2"/>
        <v>3.9695</v>
      </c>
      <c r="AA4" s="2">
        <f t="shared" si="2"/>
        <v>4.6264</v>
      </c>
      <c r="AB4" s="2">
        <f t="shared" si="2"/>
        <v>5.2821</v>
      </c>
      <c r="AC4" s="2">
        <f t="shared" si="2"/>
        <v>5.9343</v>
      </c>
      <c r="AD4" s="2">
        <f t="shared" si="2"/>
        <v>6.5841</v>
      </c>
      <c r="AE4" s="2">
        <f t="shared" si="2"/>
        <v>7.2321</v>
      </c>
      <c r="AF4" s="2">
        <f t="shared" si="2"/>
        <v>7.8781</v>
      </c>
    </row>
    <row r="5" s="2" customFormat="1" spans="2:32">
      <c r="B5" s="2" t="s">
        <v>8</v>
      </c>
      <c r="C5" s="2">
        <f>C3/1000000*1000</f>
        <v>0.19454</v>
      </c>
      <c r="D5" s="2">
        <f t="shared" ref="D5:AF5" si="3">D3/1000000*1000</f>
        <v>0.26016</v>
      </c>
      <c r="E5" s="2">
        <f t="shared" si="3"/>
        <v>0.32635</v>
      </c>
      <c r="F5" s="2">
        <f t="shared" si="3"/>
        <v>0.39314</v>
      </c>
      <c r="G5" s="2">
        <f t="shared" si="3"/>
        <v>0.46055</v>
      </c>
      <c r="H5" s="2">
        <f t="shared" si="3"/>
        <v>0.528</v>
      </c>
      <c r="I5" s="2">
        <f t="shared" si="3"/>
        <v>0.59645</v>
      </c>
      <c r="J5" s="2">
        <f t="shared" si="3"/>
        <v>0.66555</v>
      </c>
      <c r="K5" s="2">
        <f t="shared" si="3"/>
        <v>0.73538</v>
      </c>
      <c r="L5" s="2">
        <f t="shared" si="3"/>
        <v>0.8058</v>
      </c>
      <c r="M5" s="2">
        <f t="shared" si="3"/>
        <v>0.0007854</v>
      </c>
      <c r="N5" s="2">
        <f t="shared" si="3"/>
        <v>0.0010457</v>
      </c>
      <c r="O5" s="2">
        <f t="shared" si="3"/>
        <v>0.0013102</v>
      </c>
      <c r="P5" s="2">
        <f t="shared" si="3"/>
        <v>0.0015769</v>
      </c>
      <c r="Q5" s="2">
        <f t="shared" si="3"/>
        <v>0.0018463</v>
      </c>
      <c r="R5" s="2">
        <f t="shared" si="3"/>
        <v>0.0021179</v>
      </c>
      <c r="S5" s="2">
        <f t="shared" si="3"/>
        <v>0.0023924</v>
      </c>
      <c r="T5" s="2">
        <f t="shared" si="3"/>
        <v>0.0026705</v>
      </c>
      <c r="U5" s="2">
        <f t="shared" si="3"/>
        <v>0.0029562</v>
      </c>
      <c r="V5" s="2">
        <f t="shared" si="3"/>
        <v>0.0032391</v>
      </c>
      <c r="W5" s="2">
        <f t="shared" si="3"/>
        <v>0.0010121</v>
      </c>
      <c r="X5" s="2">
        <f t="shared" si="3"/>
        <v>0.0013499</v>
      </c>
      <c r="Y5" s="2">
        <f t="shared" si="3"/>
        <v>0.0016894</v>
      </c>
      <c r="Z5" s="2">
        <f t="shared" si="3"/>
        <v>0.0020305</v>
      </c>
      <c r="AA5" s="2">
        <f t="shared" si="3"/>
        <v>0.0023736</v>
      </c>
      <c r="AB5" s="2">
        <f t="shared" si="3"/>
        <v>0.0027179</v>
      </c>
      <c r="AC5" s="2">
        <f t="shared" si="3"/>
        <v>0.0030657</v>
      </c>
      <c r="AD5" s="2">
        <f t="shared" si="3"/>
        <v>0.0034159</v>
      </c>
      <c r="AE5" s="2">
        <f t="shared" si="3"/>
        <v>0.0037679</v>
      </c>
      <c r="AF5" s="2">
        <f t="shared" si="3"/>
        <v>0.0041219</v>
      </c>
    </row>
    <row r="6" s="2" customFormat="1" spans="2:32">
      <c r="B6" s="2" t="s">
        <v>9</v>
      </c>
      <c r="C6" s="2">
        <f>C4/C5/1000</f>
        <v>0.0144209931119564</v>
      </c>
      <c r="D6" s="2">
        <f t="shared" ref="D6:L6" si="4">D4/D5/1000</f>
        <v>0.0143751537515375</v>
      </c>
      <c r="E6" s="2">
        <f t="shared" si="4"/>
        <v>0.0143209744139727</v>
      </c>
      <c r="F6" s="2">
        <f t="shared" si="4"/>
        <v>0.0142617388207763</v>
      </c>
      <c r="G6" s="2">
        <f t="shared" si="4"/>
        <v>0.0141992183259147</v>
      </c>
      <c r="H6" s="2">
        <f t="shared" si="4"/>
        <v>0.0141515151515152</v>
      </c>
      <c r="I6" s="2">
        <f t="shared" si="4"/>
        <v>0.0140892782295247</v>
      </c>
      <c r="J6" s="2">
        <f t="shared" si="4"/>
        <v>0.0140251671549846</v>
      </c>
      <c r="K6" s="2">
        <f t="shared" si="4"/>
        <v>0.0139582528760641</v>
      </c>
      <c r="L6" s="2">
        <f t="shared" si="4"/>
        <v>0.0138920327624721</v>
      </c>
      <c r="M6" s="2">
        <f>M4/M5/1000</f>
        <v>2.81970970206264</v>
      </c>
      <c r="N6" s="2">
        <f t="shared" ref="N6:V6" si="5">N4/N5/1000</f>
        <v>2.82518886870039</v>
      </c>
      <c r="O6" s="2">
        <f t="shared" si="5"/>
        <v>2.81621126545566</v>
      </c>
      <c r="P6" s="2">
        <f t="shared" si="5"/>
        <v>2.80493373073752</v>
      </c>
      <c r="Q6" s="2">
        <f t="shared" si="5"/>
        <v>2.79136651681742</v>
      </c>
      <c r="R6" s="2">
        <f t="shared" si="5"/>
        <v>2.7773265971009</v>
      </c>
      <c r="S6" s="2">
        <f t="shared" si="5"/>
        <v>2.76191272362481</v>
      </c>
      <c r="T6" s="2">
        <f t="shared" si="5"/>
        <v>2.74461711290021</v>
      </c>
      <c r="U6" s="2">
        <f t="shared" si="5"/>
        <v>2.72099316690346</v>
      </c>
      <c r="V6" s="2">
        <f t="shared" si="5"/>
        <v>2.70473279614708</v>
      </c>
      <c r="W6" s="2">
        <f>W4/W5/1000</f>
        <v>1.96413397885584</v>
      </c>
      <c r="X6" s="2">
        <f t="shared" ref="X6:AF6" si="6">X4/X5/1000</f>
        <v>1.96318245795985</v>
      </c>
      <c r="Y6" s="2">
        <f t="shared" si="6"/>
        <v>1.95963063809637</v>
      </c>
      <c r="Z6" s="2">
        <f t="shared" si="6"/>
        <v>1.95493720758434</v>
      </c>
      <c r="AA6" s="2">
        <f t="shared" si="6"/>
        <v>1.94910684192787</v>
      </c>
      <c r="AB6" s="2">
        <f t="shared" si="6"/>
        <v>1.94344898634976</v>
      </c>
      <c r="AC6" s="2">
        <f t="shared" si="6"/>
        <v>1.93570799491144</v>
      </c>
      <c r="AD6" s="2">
        <f t="shared" si="6"/>
        <v>1.92748616762786</v>
      </c>
      <c r="AE6" s="2">
        <f t="shared" si="6"/>
        <v>1.91939807319727</v>
      </c>
      <c r="AF6" s="2">
        <f t="shared" si="6"/>
        <v>1.91127877920377</v>
      </c>
    </row>
    <row r="7" s="2" customFormat="1"/>
    <row r="8" s="2" customFormat="1" spans="2:23">
      <c r="B8" s="2" t="s">
        <v>10</v>
      </c>
      <c r="C8" s="2" t="s">
        <v>11</v>
      </c>
      <c r="D8" s="2"/>
      <c r="E8" s="2"/>
      <c r="F8" s="2"/>
      <c r="G8" s="2"/>
      <c r="H8" s="2"/>
      <c r="I8" s="2"/>
      <c r="J8" s="2"/>
      <c r="K8" s="2"/>
      <c r="L8" s="2"/>
      <c r="M8" s="2" t="s">
        <v>12</v>
      </c>
      <c r="W8" s="2" t="s">
        <v>13</v>
      </c>
    </row>
    <row r="9" s="2" customFormat="1" spans="2:32">
      <c r="B9" s="2" t="s">
        <v>14</v>
      </c>
      <c r="C9" s="2">
        <v>37</v>
      </c>
      <c r="D9" s="2">
        <v>41</v>
      </c>
      <c r="E9" s="2">
        <v>45</v>
      </c>
      <c r="F9" s="2">
        <v>49</v>
      </c>
      <c r="G9" s="2">
        <v>56</v>
      </c>
      <c r="H9" s="2">
        <v>62</v>
      </c>
      <c r="I9" s="2">
        <v>72</v>
      </c>
      <c r="J9" s="2">
        <v>86</v>
      </c>
      <c r="K9" s="2">
        <v>116</v>
      </c>
      <c r="L9" s="2">
        <v>192</v>
      </c>
      <c r="M9" s="2">
        <v>37</v>
      </c>
      <c r="N9" s="2">
        <v>41</v>
      </c>
      <c r="O9" s="2">
        <v>45</v>
      </c>
      <c r="P9" s="2">
        <v>49</v>
      </c>
      <c r="Q9" s="2">
        <v>56</v>
      </c>
      <c r="R9" s="2">
        <v>62</v>
      </c>
      <c r="S9" s="2">
        <v>72</v>
      </c>
      <c r="T9" s="2">
        <v>86</v>
      </c>
      <c r="U9" s="2">
        <v>116</v>
      </c>
      <c r="V9" s="2">
        <v>192</v>
      </c>
      <c r="W9" s="2">
        <v>37</v>
      </c>
      <c r="X9" s="2">
        <v>41</v>
      </c>
      <c r="Y9" s="2">
        <v>45</v>
      </c>
      <c r="Z9" s="2">
        <v>49</v>
      </c>
      <c r="AA9" s="2">
        <v>56</v>
      </c>
      <c r="AB9" s="2">
        <v>62</v>
      </c>
      <c r="AC9" s="2">
        <v>72</v>
      </c>
      <c r="AD9" s="2">
        <v>86</v>
      </c>
      <c r="AE9" s="2">
        <v>116</v>
      </c>
      <c r="AF9" s="2">
        <v>192</v>
      </c>
    </row>
    <row r="10" s="2" customFormat="1" spans="2:32">
      <c r="B10" s="2" t="s">
        <v>5</v>
      </c>
      <c r="C10" s="2">
        <v>7.408</v>
      </c>
      <c r="D10" s="2">
        <v>7.432</v>
      </c>
      <c r="E10" s="2">
        <v>7.459</v>
      </c>
      <c r="F10" s="2">
        <v>7.436</v>
      </c>
      <c r="G10" s="2">
        <v>7.47</v>
      </c>
      <c r="H10" s="2">
        <v>7.522</v>
      </c>
      <c r="I10" s="2">
        <v>7.586</v>
      </c>
      <c r="J10" s="2">
        <v>7.666</v>
      </c>
      <c r="K10" s="2">
        <v>7.812</v>
      </c>
      <c r="L10" s="2">
        <v>8.08</v>
      </c>
      <c r="M10" s="2">
        <v>8.448</v>
      </c>
      <c r="N10" s="2">
        <v>8.489</v>
      </c>
      <c r="O10" s="2">
        <v>8.527</v>
      </c>
      <c r="P10" s="2">
        <v>8.503</v>
      </c>
      <c r="Q10" s="2">
        <v>8.548</v>
      </c>
      <c r="R10" s="2">
        <v>8.609</v>
      </c>
      <c r="S10" s="2">
        <v>8.686</v>
      </c>
      <c r="T10" s="2">
        <v>8.772</v>
      </c>
      <c r="U10" s="2">
        <v>8.941</v>
      </c>
      <c r="V10" s="2">
        <v>9.242</v>
      </c>
      <c r="W10" s="2">
        <v>9.497</v>
      </c>
      <c r="X10" s="2">
        <v>9.54</v>
      </c>
      <c r="Y10" s="2">
        <v>9.589</v>
      </c>
      <c r="Z10" s="2">
        <v>9.618</v>
      </c>
      <c r="AA10" s="2">
        <v>9.63</v>
      </c>
      <c r="AB10" s="2">
        <v>9.695</v>
      </c>
      <c r="AC10" s="2">
        <v>9.778</v>
      </c>
      <c r="AD10" s="2">
        <v>9.877</v>
      </c>
      <c r="AE10" s="2">
        <v>10.064</v>
      </c>
      <c r="AF10" s="2">
        <v>10.408</v>
      </c>
    </row>
    <row r="11" s="2" customFormat="1" spans="2:32">
      <c r="B11" s="2" t="s">
        <v>6</v>
      </c>
      <c r="C11" s="2">
        <v>0.4004</v>
      </c>
      <c r="D11" s="2">
        <v>0.4323</v>
      </c>
      <c r="E11" s="2">
        <v>0.4586</v>
      </c>
      <c r="F11" s="2">
        <v>0.4363</v>
      </c>
      <c r="G11" s="2">
        <v>0.4693</v>
      </c>
      <c r="H11" s="2">
        <v>0.5217</v>
      </c>
      <c r="I11" s="2">
        <v>0.5857</v>
      </c>
      <c r="J11" s="2">
        <v>0.6665</v>
      </c>
      <c r="K11" s="2">
        <v>0.8123</v>
      </c>
      <c r="L11" s="2">
        <v>1.0798</v>
      </c>
      <c r="M11" s="2">
        <v>0.4472</v>
      </c>
      <c r="N11" s="2">
        <v>0.4892</v>
      </c>
      <c r="O11" s="2">
        <v>0.5267</v>
      </c>
      <c r="P11" s="2">
        <v>0.5027</v>
      </c>
      <c r="Q11" s="2">
        <v>0.5482</v>
      </c>
      <c r="R11" s="2">
        <v>0.6091</v>
      </c>
      <c r="S11" s="2">
        <v>0.6856</v>
      </c>
      <c r="T11" s="2">
        <v>0.7723</v>
      </c>
      <c r="U11" s="2">
        <v>0.9409</v>
      </c>
      <c r="V11" s="2">
        <v>1.2424</v>
      </c>
      <c r="W11" s="2">
        <v>0.4966</v>
      </c>
      <c r="X11" s="2">
        <v>0.5399</v>
      </c>
      <c r="Y11" s="2">
        <v>0.5892</v>
      </c>
      <c r="Z11" s="2">
        <v>0.6184</v>
      </c>
      <c r="AA11" s="2">
        <v>0.6302</v>
      </c>
      <c r="AB11" s="2">
        <v>0.6949</v>
      </c>
      <c r="AC11" s="2">
        <v>0.7783</v>
      </c>
      <c r="AD11" s="2">
        <v>0.8766</v>
      </c>
      <c r="AE11" s="2">
        <v>1.0637</v>
      </c>
      <c r="AF11" s="2">
        <v>1.4084</v>
      </c>
    </row>
    <row r="12" s="2" customFormat="1" spans="2:32">
      <c r="B12" s="2" t="s">
        <v>7</v>
      </c>
      <c r="C12" s="2">
        <f>C10-C11</f>
        <v>7.0076</v>
      </c>
      <c r="D12" s="2">
        <f t="shared" ref="D12:L12" si="7">D10-D11</f>
        <v>6.9997</v>
      </c>
      <c r="E12" s="2">
        <f t="shared" si="7"/>
        <v>7.0004</v>
      </c>
      <c r="F12" s="2">
        <f t="shared" si="7"/>
        <v>6.9997</v>
      </c>
      <c r="G12" s="2">
        <f t="shared" si="7"/>
        <v>7.0007</v>
      </c>
      <c r="H12" s="2">
        <f t="shared" si="7"/>
        <v>7.0003</v>
      </c>
      <c r="I12" s="2">
        <f t="shared" si="7"/>
        <v>7.0003</v>
      </c>
      <c r="J12" s="2">
        <f t="shared" si="7"/>
        <v>6.9995</v>
      </c>
      <c r="K12" s="2">
        <f t="shared" si="7"/>
        <v>6.9997</v>
      </c>
      <c r="L12" s="2">
        <f t="shared" si="7"/>
        <v>7.0002</v>
      </c>
      <c r="M12" s="2">
        <f t="shared" ref="M12:V12" si="8">M10-M11</f>
        <v>8.0008</v>
      </c>
      <c r="N12" s="2">
        <f t="shared" si="8"/>
        <v>7.9998</v>
      </c>
      <c r="O12" s="2">
        <f t="shared" si="8"/>
        <v>8.0003</v>
      </c>
      <c r="P12" s="2">
        <f t="shared" si="8"/>
        <v>8.0003</v>
      </c>
      <c r="Q12" s="2">
        <f t="shared" si="8"/>
        <v>7.9998</v>
      </c>
      <c r="R12" s="2">
        <f t="shared" si="8"/>
        <v>7.9999</v>
      </c>
      <c r="S12" s="2">
        <f t="shared" si="8"/>
        <v>8.0004</v>
      </c>
      <c r="T12" s="2">
        <f t="shared" si="8"/>
        <v>7.9997</v>
      </c>
      <c r="U12" s="2">
        <f t="shared" si="8"/>
        <v>8.0001</v>
      </c>
      <c r="V12" s="2">
        <f t="shared" si="8"/>
        <v>7.9996</v>
      </c>
      <c r="W12" s="2">
        <f t="shared" ref="W12:AF12" si="9">W10-W11</f>
        <v>9.0004</v>
      </c>
      <c r="X12" s="2">
        <f t="shared" si="9"/>
        <v>9.0001</v>
      </c>
      <c r="Y12" s="2">
        <f t="shared" si="9"/>
        <v>8.9998</v>
      </c>
      <c r="Z12" s="2">
        <f t="shared" si="9"/>
        <v>8.9996</v>
      </c>
      <c r="AA12" s="2">
        <f t="shared" si="9"/>
        <v>8.9998</v>
      </c>
      <c r="AB12" s="2">
        <f t="shared" si="9"/>
        <v>9.0001</v>
      </c>
      <c r="AC12" s="2">
        <f t="shared" si="9"/>
        <v>8.9997</v>
      </c>
      <c r="AD12" s="2">
        <f t="shared" si="9"/>
        <v>9.0004</v>
      </c>
      <c r="AE12" s="2">
        <f t="shared" si="9"/>
        <v>9.0003</v>
      </c>
      <c r="AF12" s="2">
        <f t="shared" si="9"/>
        <v>8.9996</v>
      </c>
    </row>
    <row r="13" s="2" customFormat="1" spans="2:32">
      <c r="B13" s="2" t="s">
        <v>8</v>
      </c>
      <c r="C13" s="2">
        <f>C11/1000*1000</f>
        <v>0.4004</v>
      </c>
      <c r="D13" s="2">
        <f t="shared" ref="D13:AF13" si="10">D11/1000*1000</f>
        <v>0.4323</v>
      </c>
      <c r="E13" s="2">
        <f t="shared" si="10"/>
        <v>0.4586</v>
      </c>
      <c r="F13" s="2">
        <f t="shared" si="10"/>
        <v>0.4363</v>
      </c>
      <c r="G13" s="2">
        <f t="shared" si="10"/>
        <v>0.4693</v>
      </c>
      <c r="H13" s="2">
        <f t="shared" si="10"/>
        <v>0.5217</v>
      </c>
      <c r="I13" s="2">
        <f t="shared" si="10"/>
        <v>0.5857</v>
      </c>
      <c r="J13" s="2">
        <f t="shared" si="10"/>
        <v>0.6665</v>
      </c>
      <c r="K13" s="2">
        <f t="shared" si="10"/>
        <v>0.8123</v>
      </c>
      <c r="L13" s="2">
        <f t="shared" si="10"/>
        <v>1.0798</v>
      </c>
      <c r="M13" s="2">
        <f t="shared" si="10"/>
        <v>0.4472</v>
      </c>
      <c r="N13" s="2">
        <f t="shared" si="10"/>
        <v>0.4892</v>
      </c>
      <c r="O13" s="2">
        <f t="shared" si="10"/>
        <v>0.5267</v>
      </c>
      <c r="P13" s="2">
        <f t="shared" si="10"/>
        <v>0.5027</v>
      </c>
      <c r="Q13" s="2">
        <f t="shared" si="10"/>
        <v>0.5482</v>
      </c>
      <c r="R13" s="2">
        <f t="shared" si="10"/>
        <v>0.6091</v>
      </c>
      <c r="S13" s="2">
        <f t="shared" si="10"/>
        <v>0.6856</v>
      </c>
      <c r="T13" s="2">
        <f t="shared" si="10"/>
        <v>0.7723</v>
      </c>
      <c r="U13" s="2">
        <f t="shared" si="10"/>
        <v>0.9409</v>
      </c>
      <c r="V13" s="2">
        <f t="shared" si="10"/>
        <v>1.2424</v>
      </c>
      <c r="W13" s="2">
        <f t="shared" si="10"/>
        <v>0.4966</v>
      </c>
      <c r="X13" s="2">
        <f t="shared" si="10"/>
        <v>0.5399</v>
      </c>
      <c r="Y13" s="2">
        <f t="shared" si="10"/>
        <v>0.5892</v>
      </c>
      <c r="Z13" s="2">
        <f t="shared" si="10"/>
        <v>0.6184</v>
      </c>
      <c r="AA13" s="2">
        <f t="shared" si="10"/>
        <v>0.6302</v>
      </c>
      <c r="AB13" s="2">
        <f t="shared" si="10"/>
        <v>0.6949</v>
      </c>
      <c r="AC13" s="2">
        <f t="shared" si="10"/>
        <v>0.7783</v>
      </c>
      <c r="AD13" s="2">
        <f t="shared" si="10"/>
        <v>0.8766</v>
      </c>
      <c r="AE13" s="2">
        <f t="shared" si="10"/>
        <v>1.0637</v>
      </c>
      <c r="AF13" s="2">
        <f t="shared" si="10"/>
        <v>1.4084</v>
      </c>
    </row>
    <row r="14" s="2" customFormat="1" spans="2:32">
      <c r="B14" s="2" t="s">
        <v>9</v>
      </c>
      <c r="C14" s="2">
        <f>C12/C13/1000</f>
        <v>0.0175014985014985</v>
      </c>
      <c r="D14" s="2">
        <f t="shared" ref="D14:L14" si="11">D12/D13/1000</f>
        <v>0.0161917649780245</v>
      </c>
      <c r="E14" s="2">
        <f t="shared" si="11"/>
        <v>0.0152647187091147</v>
      </c>
      <c r="F14" s="2">
        <f t="shared" si="11"/>
        <v>0.0160433188173275</v>
      </c>
      <c r="G14" s="2">
        <f t="shared" si="11"/>
        <v>0.0149173236735564</v>
      </c>
      <c r="H14" s="2">
        <f t="shared" si="11"/>
        <v>0.0134182480352693</v>
      </c>
      <c r="I14" s="2">
        <f t="shared" si="11"/>
        <v>0.0119520232200785</v>
      </c>
      <c r="J14" s="2">
        <f t="shared" si="11"/>
        <v>0.0105018754688672</v>
      </c>
      <c r="K14" s="2">
        <f t="shared" si="11"/>
        <v>0.00861713652591407</v>
      </c>
      <c r="L14" s="2">
        <f t="shared" si="11"/>
        <v>0.00648286719762919</v>
      </c>
      <c r="M14" s="2">
        <f t="shared" ref="M14:V14" si="12">M12/M13/1000</f>
        <v>0.0178908765652952</v>
      </c>
      <c r="N14" s="2">
        <f t="shared" si="12"/>
        <v>0.0163528209321341</v>
      </c>
      <c r="O14" s="2">
        <f t="shared" si="12"/>
        <v>0.0151894816783748</v>
      </c>
      <c r="P14" s="2">
        <f t="shared" si="12"/>
        <v>0.0159146608315098</v>
      </c>
      <c r="Q14" s="2">
        <f t="shared" si="12"/>
        <v>0.0145928493250638</v>
      </c>
      <c r="R14" s="2">
        <f t="shared" si="12"/>
        <v>0.0131339681497291</v>
      </c>
      <c r="S14" s="2">
        <f t="shared" si="12"/>
        <v>0.011669194865811</v>
      </c>
      <c r="T14" s="2">
        <f t="shared" si="12"/>
        <v>0.0103582804609608</v>
      </c>
      <c r="U14" s="2">
        <f t="shared" si="12"/>
        <v>0.00850260388989266</v>
      </c>
      <c r="V14" s="2">
        <f t="shared" si="12"/>
        <v>0.00643882807469414</v>
      </c>
      <c r="W14" s="2">
        <f t="shared" ref="W14:AF14" si="13">W12/W13/1000</f>
        <v>0.0181240434957712</v>
      </c>
      <c r="X14" s="2">
        <f t="shared" si="13"/>
        <v>0.0166699388775699</v>
      </c>
      <c r="Y14" s="2">
        <f t="shared" si="13"/>
        <v>0.0152746096401901</v>
      </c>
      <c r="Z14" s="2">
        <f t="shared" si="13"/>
        <v>0.0145530401034929</v>
      </c>
      <c r="AA14" s="2">
        <f t="shared" si="13"/>
        <v>0.014280863218026</v>
      </c>
      <c r="AB14" s="2">
        <f t="shared" si="13"/>
        <v>0.0129516477190963</v>
      </c>
      <c r="AC14" s="2">
        <f t="shared" si="13"/>
        <v>0.0115632789412823</v>
      </c>
      <c r="AD14" s="2">
        <f t="shared" si="13"/>
        <v>0.0102673967602099</v>
      </c>
      <c r="AE14" s="2">
        <f t="shared" si="13"/>
        <v>0.0084613142803422</v>
      </c>
      <c r="AF14" s="2">
        <f t="shared" si="13"/>
        <v>0.00638994603805737</v>
      </c>
    </row>
    <row r="16" s="2" customFormat="1" spans="1:33">
      <c r="A16" s="2" t="s">
        <v>15</v>
      </c>
      <c r="B16" s="2" t="s">
        <v>1</v>
      </c>
      <c r="C16" s="2" t="s">
        <v>2</v>
      </c>
      <c r="D16" s="2"/>
      <c r="E16" s="2"/>
      <c r="F16" s="2"/>
      <c r="G16" s="2"/>
      <c r="H16" s="2"/>
      <c r="I16" s="2"/>
      <c r="J16" s="2"/>
      <c r="K16" s="2"/>
      <c r="L16" s="2"/>
      <c r="R16" s="2" t="s">
        <v>3</v>
      </c>
      <c r="AG16" s="2" t="s">
        <v>4</v>
      </c>
    </row>
    <row r="17" s="2" customFormat="1" spans="2:47">
      <c r="B17" s="2" t="s">
        <v>16</v>
      </c>
      <c r="C17" s="2">
        <v>50</v>
      </c>
      <c r="D17" s="2">
        <v>100</v>
      </c>
      <c r="E17" s="2">
        <v>200</v>
      </c>
      <c r="F17" s="2">
        <v>510</v>
      </c>
      <c r="G17" s="2">
        <v>1000</v>
      </c>
      <c r="H17" s="2">
        <v>2500</v>
      </c>
      <c r="I17" s="2">
        <v>5000</v>
      </c>
      <c r="J17" s="2">
        <v>10000</v>
      </c>
      <c r="K17" s="2">
        <v>20000</v>
      </c>
      <c r="L17" s="2">
        <v>30000</v>
      </c>
      <c r="M17" s="2">
        <v>40000</v>
      </c>
      <c r="N17" s="2">
        <v>50000</v>
      </c>
      <c r="O17" s="2">
        <v>60000</v>
      </c>
      <c r="P17" s="2">
        <v>90000</v>
      </c>
      <c r="Q17" s="2">
        <v>99999.9</v>
      </c>
      <c r="R17" s="2">
        <v>50</v>
      </c>
      <c r="S17" s="2">
        <v>100</v>
      </c>
      <c r="T17" s="2">
        <v>200</v>
      </c>
      <c r="U17" s="2">
        <v>510</v>
      </c>
      <c r="V17" s="2">
        <v>1000</v>
      </c>
      <c r="W17" s="2">
        <v>2500</v>
      </c>
      <c r="X17" s="2">
        <v>5000</v>
      </c>
      <c r="Y17" s="2">
        <v>10000</v>
      </c>
      <c r="Z17" s="2">
        <v>20000</v>
      </c>
      <c r="AA17" s="2">
        <v>30000</v>
      </c>
      <c r="AB17" s="2">
        <v>40000</v>
      </c>
      <c r="AC17" s="2">
        <v>50000</v>
      </c>
      <c r="AD17" s="2">
        <v>60000</v>
      </c>
      <c r="AE17" s="2">
        <v>90000</v>
      </c>
      <c r="AF17" s="2">
        <v>99999.9</v>
      </c>
      <c r="AG17" s="2">
        <v>50</v>
      </c>
      <c r="AH17" s="2">
        <v>100</v>
      </c>
      <c r="AI17" s="2">
        <v>200</v>
      </c>
      <c r="AJ17" s="2">
        <v>510</v>
      </c>
      <c r="AK17" s="2">
        <v>1000</v>
      </c>
      <c r="AL17" s="2">
        <v>2500</v>
      </c>
      <c r="AM17" s="2">
        <v>5000</v>
      </c>
      <c r="AN17" s="2">
        <v>10000</v>
      </c>
      <c r="AO17" s="2">
        <v>20000</v>
      </c>
      <c r="AP17" s="2">
        <v>30000</v>
      </c>
      <c r="AQ17" s="2">
        <v>40000</v>
      </c>
      <c r="AR17" s="2">
        <v>50000</v>
      </c>
      <c r="AS17" s="2">
        <v>60000</v>
      </c>
      <c r="AT17" s="2">
        <v>90000</v>
      </c>
      <c r="AU17" s="2">
        <v>99999.9</v>
      </c>
    </row>
    <row r="18" s="2" customFormat="1" spans="2:47">
      <c r="B18" s="2" t="s">
        <v>17</v>
      </c>
      <c r="C18" s="2">
        <v>0.96</v>
      </c>
      <c r="D18" s="2">
        <v>1.89</v>
      </c>
      <c r="E18" s="2">
        <v>3.74</v>
      </c>
      <c r="F18" s="2">
        <v>9.47</v>
      </c>
      <c r="G18" s="2">
        <v>18.73</v>
      </c>
      <c r="H18" s="2">
        <v>45.86</v>
      </c>
      <c r="I18" s="2">
        <v>92.64</v>
      </c>
      <c r="J18" s="2">
        <v>184.66</v>
      </c>
      <c r="K18" s="2">
        <v>334.98</v>
      </c>
      <c r="L18" s="2">
        <v>374.28</v>
      </c>
      <c r="M18" s="2">
        <v>386.87</v>
      </c>
      <c r="N18" s="2">
        <v>393.14</v>
      </c>
      <c r="O18" s="2">
        <v>396.94</v>
      </c>
      <c r="P18" s="2">
        <v>402.68</v>
      </c>
      <c r="Q18" s="2">
        <v>403.8</v>
      </c>
      <c r="R18" s="2">
        <v>5.06</v>
      </c>
      <c r="S18" s="2">
        <v>10.07</v>
      </c>
      <c r="T18" s="2">
        <v>20.08</v>
      </c>
      <c r="U18" s="2">
        <v>51.11</v>
      </c>
      <c r="V18" s="2">
        <v>100.21</v>
      </c>
      <c r="W18" s="2">
        <v>245.7</v>
      </c>
      <c r="X18" s="2">
        <v>371.7</v>
      </c>
      <c r="Y18" s="2">
        <v>422.32</v>
      </c>
      <c r="Z18" s="2">
        <v>440.49</v>
      </c>
      <c r="AA18" s="2">
        <v>445.64</v>
      </c>
      <c r="AB18" s="2">
        <v>447.97</v>
      </c>
      <c r="AC18" s="2">
        <v>449.28</v>
      </c>
      <c r="AD18" s="2">
        <v>450.12</v>
      </c>
      <c r="AE18" s="2">
        <v>451.61</v>
      </c>
      <c r="AF18" s="2">
        <v>451.84</v>
      </c>
      <c r="AG18" s="2">
        <v>8.11</v>
      </c>
      <c r="AH18" s="2">
        <v>16.16</v>
      </c>
      <c r="AI18" s="2">
        <v>32.26</v>
      </c>
      <c r="AJ18" s="2">
        <v>82.02</v>
      </c>
      <c r="AK18" s="2">
        <v>158.64</v>
      </c>
      <c r="AL18" s="2">
        <v>322.54</v>
      </c>
      <c r="AM18" s="2">
        <v>408.76</v>
      </c>
      <c r="AN18" s="2">
        <v>441.18</v>
      </c>
      <c r="AO18" s="2">
        <v>453.72</v>
      </c>
      <c r="AP18" s="2">
        <v>457.41</v>
      </c>
      <c r="AQ18" s="2">
        <v>459.07</v>
      </c>
      <c r="AR18" s="2">
        <v>460.06</v>
      </c>
      <c r="AS18" s="2">
        <v>460.68</v>
      </c>
      <c r="AT18" s="2">
        <v>461.74</v>
      </c>
      <c r="AU18" s="2">
        <v>461.89</v>
      </c>
    </row>
    <row r="19" s="2" customFormat="1" spans="2:47">
      <c r="B19" s="2" t="s">
        <v>8</v>
      </c>
      <c r="C19" s="2">
        <f>C18/C17*1000</f>
        <v>19.2</v>
      </c>
      <c r="D19" s="2">
        <f t="shared" ref="D19:AI19" si="14">D18/D17*1000</f>
        <v>18.9</v>
      </c>
      <c r="E19" s="2">
        <f t="shared" si="14"/>
        <v>18.7</v>
      </c>
      <c r="F19" s="2">
        <f t="shared" si="14"/>
        <v>18.5686274509804</v>
      </c>
      <c r="G19" s="2">
        <f t="shared" si="14"/>
        <v>18.73</v>
      </c>
      <c r="H19" s="2">
        <f t="shared" si="14"/>
        <v>18.344</v>
      </c>
      <c r="I19" s="2">
        <f t="shared" si="14"/>
        <v>18.528</v>
      </c>
      <c r="J19" s="2">
        <f t="shared" si="14"/>
        <v>18.466</v>
      </c>
      <c r="K19" s="2">
        <f t="shared" si="14"/>
        <v>16.749</v>
      </c>
      <c r="L19" s="2">
        <f t="shared" si="14"/>
        <v>12.476</v>
      </c>
      <c r="M19" s="2">
        <f t="shared" si="14"/>
        <v>9.67175</v>
      </c>
      <c r="N19" s="2">
        <f t="shared" si="14"/>
        <v>7.8628</v>
      </c>
      <c r="O19" s="2">
        <f t="shared" si="14"/>
        <v>6.61566666666667</v>
      </c>
      <c r="P19" s="2">
        <f t="shared" si="14"/>
        <v>4.47422222222222</v>
      </c>
      <c r="Q19" s="2">
        <f t="shared" si="14"/>
        <v>4.03800403800404</v>
      </c>
      <c r="R19" s="2">
        <f t="shared" si="14"/>
        <v>101.2</v>
      </c>
      <c r="S19" s="2">
        <f t="shared" si="14"/>
        <v>100.7</v>
      </c>
      <c r="T19" s="2">
        <f t="shared" si="14"/>
        <v>100.4</v>
      </c>
      <c r="U19" s="2">
        <f t="shared" si="14"/>
        <v>100.21568627451</v>
      </c>
      <c r="V19" s="2">
        <f t="shared" si="14"/>
        <v>100.21</v>
      </c>
      <c r="W19" s="2">
        <f t="shared" si="14"/>
        <v>98.28</v>
      </c>
      <c r="X19" s="2">
        <f t="shared" si="14"/>
        <v>74.34</v>
      </c>
      <c r="Y19" s="2">
        <f t="shared" si="14"/>
        <v>42.232</v>
      </c>
      <c r="Z19" s="2">
        <f t="shared" si="14"/>
        <v>22.0245</v>
      </c>
      <c r="AA19" s="2">
        <f t="shared" si="14"/>
        <v>14.8546666666667</v>
      </c>
      <c r="AB19" s="2">
        <f t="shared" si="14"/>
        <v>11.19925</v>
      </c>
      <c r="AC19" s="2">
        <f t="shared" si="14"/>
        <v>8.9856</v>
      </c>
      <c r="AD19" s="2">
        <f t="shared" si="14"/>
        <v>7.502</v>
      </c>
      <c r="AE19" s="2">
        <f t="shared" si="14"/>
        <v>5.01788888888889</v>
      </c>
      <c r="AF19" s="2">
        <f t="shared" si="14"/>
        <v>4.51840451840452</v>
      </c>
      <c r="AG19" s="2">
        <f t="shared" si="14"/>
        <v>162.2</v>
      </c>
      <c r="AH19" s="2">
        <f t="shared" si="14"/>
        <v>161.6</v>
      </c>
      <c r="AI19" s="2">
        <f t="shared" si="14"/>
        <v>161.3</v>
      </c>
      <c r="AJ19" s="2">
        <f>AJ18/AJ17</f>
        <v>0.160823529411765</v>
      </c>
      <c r="AK19" s="2">
        <f>AK18/AK17</f>
        <v>0.15864</v>
      </c>
      <c r="AL19" s="2">
        <f>AL18/AL17</f>
        <v>0.129016</v>
      </c>
      <c r="AM19" s="2">
        <f>AM18/AM17</f>
        <v>0.081752</v>
      </c>
      <c r="AN19" s="2">
        <f>AN18/AN17</f>
        <v>0.044118</v>
      </c>
      <c r="AO19" s="2">
        <f>AO18/AO17</f>
        <v>0.022686</v>
      </c>
      <c r="AP19" s="2">
        <f>AP18/AP17</f>
        <v>0.015247</v>
      </c>
      <c r="AQ19" s="2">
        <f>AQ18/AQ17</f>
        <v>0.01147675</v>
      </c>
      <c r="AR19" s="2">
        <f>AR18/AR17</f>
        <v>0.0092012</v>
      </c>
      <c r="AS19" s="2">
        <f>AS18/AS17</f>
        <v>0.007678</v>
      </c>
      <c r="AT19" s="2">
        <f>AT18/AT17</f>
        <v>0.00513044444444444</v>
      </c>
      <c r="AU19" s="2">
        <f>AU18/AU17</f>
        <v>0.00461890461890462</v>
      </c>
    </row>
    <row r="20" s="2" customFormat="1" spans="2:47">
      <c r="B20" s="2" t="s">
        <v>18</v>
      </c>
      <c r="C20" s="2">
        <f>C18*C18/C17</f>
        <v>0.018432</v>
      </c>
      <c r="D20" s="2">
        <f t="shared" ref="D20:Q20" si="15">D18*D18/D17</f>
        <v>0.035721</v>
      </c>
      <c r="E20" s="2">
        <f t="shared" si="15"/>
        <v>0.069938</v>
      </c>
      <c r="F20" s="2">
        <f t="shared" si="15"/>
        <v>0.175844901960784</v>
      </c>
      <c r="G20" s="2">
        <f t="shared" si="15"/>
        <v>0.3508129</v>
      </c>
      <c r="H20" s="2">
        <f t="shared" si="15"/>
        <v>0.84125584</v>
      </c>
      <c r="I20" s="2">
        <f t="shared" si="15"/>
        <v>1.71643392</v>
      </c>
      <c r="J20" s="2">
        <f t="shared" si="15"/>
        <v>3.40993156</v>
      </c>
      <c r="K20" s="2">
        <f t="shared" si="15"/>
        <v>5.61058002</v>
      </c>
      <c r="L20" s="2">
        <f t="shared" si="15"/>
        <v>4.66951728</v>
      </c>
      <c r="M20" s="2">
        <f t="shared" si="15"/>
        <v>3.7417099225</v>
      </c>
      <c r="N20" s="2">
        <f t="shared" si="15"/>
        <v>3.091181192</v>
      </c>
      <c r="O20" s="2">
        <f t="shared" si="15"/>
        <v>2.62602272666667</v>
      </c>
      <c r="P20" s="2">
        <f t="shared" si="15"/>
        <v>1.80167980444444</v>
      </c>
      <c r="Q20" s="2">
        <f t="shared" si="15"/>
        <v>1.63054603054603</v>
      </c>
      <c r="R20" s="2">
        <f t="shared" ref="R20:AU20" si="16">R18*R18/R17</f>
        <v>0.512072</v>
      </c>
      <c r="S20" s="2">
        <f t="shared" si="16"/>
        <v>1.014049</v>
      </c>
      <c r="T20" s="2">
        <f t="shared" si="16"/>
        <v>2.016032</v>
      </c>
      <c r="U20" s="2">
        <f t="shared" si="16"/>
        <v>5.1220237254902</v>
      </c>
      <c r="V20" s="2">
        <f t="shared" si="16"/>
        <v>10.0420441</v>
      </c>
      <c r="W20" s="2">
        <f t="shared" si="16"/>
        <v>24.147396</v>
      </c>
      <c r="X20" s="2">
        <f t="shared" si="16"/>
        <v>27.632178</v>
      </c>
      <c r="Y20" s="2">
        <f t="shared" si="16"/>
        <v>17.83541824</v>
      </c>
      <c r="Z20" s="2">
        <f t="shared" si="16"/>
        <v>9.701572005</v>
      </c>
      <c r="AA20" s="2">
        <f t="shared" si="16"/>
        <v>6.61983365333333</v>
      </c>
      <c r="AB20" s="2">
        <f t="shared" si="16"/>
        <v>5.0169280225</v>
      </c>
      <c r="AC20" s="2">
        <f t="shared" si="16"/>
        <v>4.037050368</v>
      </c>
      <c r="AD20" s="2">
        <f t="shared" si="16"/>
        <v>3.37680024</v>
      </c>
      <c r="AE20" s="2">
        <f t="shared" si="16"/>
        <v>2.26612880111111</v>
      </c>
      <c r="AF20" s="2">
        <f t="shared" si="16"/>
        <v>2.0415958975959</v>
      </c>
      <c r="AG20" s="2">
        <f t="shared" si="16"/>
        <v>1.315442</v>
      </c>
      <c r="AH20" s="2">
        <f t="shared" si="16"/>
        <v>2.611456</v>
      </c>
      <c r="AI20" s="2">
        <f t="shared" si="16"/>
        <v>5.203538</v>
      </c>
      <c r="AJ20" s="2">
        <f t="shared" si="16"/>
        <v>13.1907458823529</v>
      </c>
      <c r="AK20" s="2">
        <f t="shared" si="16"/>
        <v>25.1666496</v>
      </c>
      <c r="AL20" s="2">
        <f t="shared" si="16"/>
        <v>41.61282064</v>
      </c>
      <c r="AM20" s="2">
        <f t="shared" si="16"/>
        <v>33.41694752</v>
      </c>
      <c r="AN20" s="2">
        <f t="shared" si="16"/>
        <v>19.46397924</v>
      </c>
      <c r="AO20" s="2">
        <f t="shared" si="16"/>
        <v>10.29309192</v>
      </c>
      <c r="AP20" s="2">
        <f t="shared" si="16"/>
        <v>6.97413027</v>
      </c>
      <c r="AQ20" s="2">
        <f t="shared" si="16"/>
        <v>5.2686316225</v>
      </c>
      <c r="AR20" s="2">
        <f t="shared" si="16"/>
        <v>4.233104072</v>
      </c>
      <c r="AS20" s="2">
        <f t="shared" si="16"/>
        <v>3.53710104</v>
      </c>
      <c r="AT20" s="2">
        <f t="shared" si="16"/>
        <v>2.36893141777778</v>
      </c>
      <c r="AU20" s="2">
        <f t="shared" si="16"/>
        <v>2.13342585442585</v>
      </c>
    </row>
    <row r="21" s="2" customFormat="1"/>
    <row r="22" s="2" customFormat="1" spans="3:5">
      <c r="C22" s="2">
        <v>2600</v>
      </c>
      <c r="D22" s="2">
        <v>4900</v>
      </c>
      <c r="E22" s="2">
        <v>20000</v>
      </c>
    </row>
    <row r="23" s="2" customFormat="1"/>
    <row r="24" s="2" customFormat="1" spans="2:2">
      <c r="B24" s="2" t="s">
        <v>10</v>
      </c>
    </row>
    <row r="25" s="2" customFormat="1" spans="2:9">
      <c r="B25" s="2" t="s">
        <v>14</v>
      </c>
      <c r="C25" s="2">
        <v>43</v>
      </c>
      <c r="D25" s="2">
        <v>47</v>
      </c>
      <c r="E25" s="2">
        <v>52</v>
      </c>
      <c r="F25" s="2">
        <v>59</v>
      </c>
      <c r="G25" s="2">
        <v>67</v>
      </c>
      <c r="H25" s="2">
        <v>79</v>
      </c>
      <c r="I25" s="2">
        <v>100</v>
      </c>
    </row>
    <row r="26" s="2" customFormat="1" spans="2:9">
      <c r="B26" s="2" t="s">
        <v>17</v>
      </c>
      <c r="C26" s="2">
        <v>29.07</v>
      </c>
      <c r="D26" s="2">
        <v>33.07</v>
      </c>
      <c r="E26" s="2">
        <v>35.45</v>
      </c>
      <c r="F26" s="2">
        <v>37.77</v>
      </c>
      <c r="G26" s="2">
        <v>43.48</v>
      </c>
      <c r="H26" s="2">
        <v>50.73</v>
      </c>
      <c r="I26" s="2">
        <v>61.05</v>
      </c>
    </row>
    <row r="27" s="2" customFormat="1" spans="2:9">
      <c r="B27" s="2" t="s">
        <v>8</v>
      </c>
      <c r="C27" s="2">
        <f>C26/10*1000</f>
        <v>2907</v>
      </c>
      <c r="D27" s="2">
        <f t="shared" ref="D27:I27" si="17">D26/10*1000</f>
        <v>3307</v>
      </c>
      <c r="E27" s="2">
        <f t="shared" si="17"/>
        <v>3545</v>
      </c>
      <c r="F27" s="2">
        <f t="shared" si="17"/>
        <v>3777</v>
      </c>
      <c r="G27" s="2">
        <f t="shared" si="17"/>
        <v>4348</v>
      </c>
      <c r="H27" s="2">
        <f t="shared" si="17"/>
        <v>5073</v>
      </c>
      <c r="I27" s="2">
        <f t="shared" si="17"/>
        <v>6105</v>
      </c>
    </row>
    <row r="28" s="2" customFormat="1" spans="2:9">
      <c r="B28" s="2" t="s">
        <v>19</v>
      </c>
      <c r="C28" s="2">
        <v>402.14</v>
      </c>
      <c r="D28" s="2">
        <v>406.37</v>
      </c>
      <c r="E28" s="2">
        <v>408.43</v>
      </c>
      <c r="F28" s="2">
        <v>410.24</v>
      </c>
      <c r="G28" s="2">
        <v>414.04</v>
      </c>
      <c r="H28" s="2">
        <v>418.08</v>
      </c>
      <c r="I28" s="2">
        <v>422.88</v>
      </c>
    </row>
    <row r="29" s="2" customFormat="1"/>
    <row r="30" s="2" customFormat="1" spans="1:23">
      <c r="A30" s="2" t="s">
        <v>20</v>
      </c>
      <c r="B30" s="2" t="s">
        <v>1</v>
      </c>
      <c r="C30" s="2" t="s">
        <v>21</v>
      </c>
      <c r="D30" s="2"/>
      <c r="E30" s="2"/>
      <c r="F30" s="2"/>
      <c r="G30" s="2"/>
      <c r="H30" s="2"/>
      <c r="I30" s="2"/>
      <c r="J30" s="2"/>
      <c r="K30" s="2"/>
      <c r="L30" s="2"/>
      <c r="M30" s="2" t="s">
        <v>3</v>
      </c>
      <c r="W30" s="2" t="s">
        <v>4</v>
      </c>
    </row>
    <row r="31" s="2" customFormat="1" spans="2:32">
      <c r="B31" s="2" t="s">
        <v>5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3</v>
      </c>
      <c r="N31" s="2">
        <v>4</v>
      </c>
      <c r="O31" s="2">
        <v>5</v>
      </c>
      <c r="P31" s="2">
        <v>6</v>
      </c>
      <c r="Q31" s="2">
        <v>7</v>
      </c>
      <c r="R31" s="2">
        <v>8</v>
      </c>
      <c r="S31" s="2">
        <v>9</v>
      </c>
      <c r="T31" s="2">
        <v>10</v>
      </c>
      <c r="U31" s="2">
        <v>11</v>
      </c>
      <c r="V31" s="2">
        <v>12</v>
      </c>
      <c r="W31" s="2">
        <v>3</v>
      </c>
      <c r="X31" s="2">
        <v>4</v>
      </c>
      <c r="Y31" s="2">
        <v>5</v>
      </c>
      <c r="Z31" s="2">
        <v>6</v>
      </c>
      <c r="AA31" s="2">
        <v>7</v>
      </c>
      <c r="AB31" s="2">
        <v>8</v>
      </c>
      <c r="AC31" s="2">
        <v>9</v>
      </c>
      <c r="AD31" s="2">
        <v>10</v>
      </c>
      <c r="AE31" s="2">
        <v>11</v>
      </c>
      <c r="AF31" s="2">
        <v>12</v>
      </c>
    </row>
    <row r="32" s="2" customFormat="1" spans="2:32">
      <c r="B32" s="2" t="s">
        <v>6</v>
      </c>
      <c r="C32" s="2">
        <v>1.3732</v>
      </c>
      <c r="D32" s="2">
        <v>1.4015</v>
      </c>
      <c r="E32" s="2">
        <v>1.4204</v>
      </c>
      <c r="F32" s="2">
        <v>1.4354</v>
      </c>
      <c r="G32" s="2">
        <v>1.448</v>
      </c>
      <c r="H32" s="2">
        <v>1.4589</v>
      </c>
      <c r="I32" s="2">
        <v>1.4686</v>
      </c>
      <c r="J32" s="2">
        <v>1.4774</v>
      </c>
      <c r="K32" s="2">
        <v>1.4855</v>
      </c>
      <c r="L32" s="2">
        <v>1.493</v>
      </c>
      <c r="M32" s="2">
        <v>2.3099</v>
      </c>
      <c r="N32" s="2">
        <v>2.3425</v>
      </c>
      <c r="O32" s="2">
        <v>2.3636</v>
      </c>
      <c r="P32" s="2">
        <v>2.38</v>
      </c>
      <c r="Q32" s="2">
        <v>2.3937</v>
      </c>
      <c r="R32" s="2">
        <v>2.4051</v>
      </c>
      <c r="S32" s="2">
        <v>2.4155</v>
      </c>
      <c r="T32" s="2">
        <v>2.4249</v>
      </c>
      <c r="U32" s="2">
        <v>2.4334</v>
      </c>
      <c r="V32" s="2">
        <v>2.4413</v>
      </c>
      <c r="W32" s="2">
        <v>2.9886</v>
      </c>
      <c r="X32" s="2">
        <v>3.6045</v>
      </c>
      <c r="Y32" s="2">
        <v>3.6728</v>
      </c>
      <c r="Z32" s="2">
        <v>3.7091</v>
      </c>
      <c r="AA32" s="2">
        <v>3.7352</v>
      </c>
      <c r="AB32" s="2">
        <v>3.756</v>
      </c>
      <c r="AC32" s="2">
        <v>3.7736</v>
      </c>
      <c r="AD32" s="2">
        <v>3.7892</v>
      </c>
      <c r="AE32" s="2">
        <v>3.8029</v>
      </c>
      <c r="AF32" s="2">
        <v>3.816</v>
      </c>
    </row>
    <row r="33" s="2" customFormat="1" spans="2:32">
      <c r="B33" s="2" t="s">
        <v>22</v>
      </c>
      <c r="C33" s="2">
        <f>C31-C32</f>
        <v>0.6268</v>
      </c>
      <c r="D33" s="2">
        <f t="shared" ref="D33:AF33" si="18">D31-D32</f>
        <v>1.5985</v>
      </c>
      <c r="E33" s="2">
        <f t="shared" si="18"/>
        <v>2.5796</v>
      </c>
      <c r="F33" s="2">
        <f t="shared" si="18"/>
        <v>3.5646</v>
      </c>
      <c r="G33" s="2">
        <f t="shared" si="18"/>
        <v>4.552</v>
      </c>
      <c r="H33" s="2">
        <f t="shared" si="18"/>
        <v>5.5411</v>
      </c>
      <c r="I33" s="2">
        <f t="shared" si="18"/>
        <v>6.5314</v>
      </c>
      <c r="J33" s="2">
        <f t="shared" si="18"/>
        <v>7.5226</v>
      </c>
      <c r="K33" s="2">
        <f t="shared" si="18"/>
        <v>8.5145</v>
      </c>
      <c r="L33" s="2">
        <f t="shared" si="18"/>
        <v>9.507</v>
      </c>
      <c r="M33" s="2">
        <f t="shared" si="18"/>
        <v>0.6901</v>
      </c>
      <c r="N33" s="2">
        <f t="shared" si="18"/>
        <v>1.6575</v>
      </c>
      <c r="O33" s="2">
        <f t="shared" si="18"/>
        <v>2.6364</v>
      </c>
      <c r="P33" s="2">
        <f t="shared" si="18"/>
        <v>3.62</v>
      </c>
      <c r="Q33" s="2">
        <f t="shared" si="18"/>
        <v>4.6063</v>
      </c>
      <c r="R33" s="2">
        <f t="shared" si="18"/>
        <v>5.5949</v>
      </c>
      <c r="S33" s="2">
        <f t="shared" si="18"/>
        <v>6.5845</v>
      </c>
      <c r="T33" s="2">
        <f t="shared" si="18"/>
        <v>7.5751</v>
      </c>
      <c r="U33" s="2">
        <f t="shared" si="18"/>
        <v>8.5666</v>
      </c>
      <c r="V33" s="2">
        <f t="shared" si="18"/>
        <v>9.5587</v>
      </c>
      <c r="W33" s="2">
        <f t="shared" si="18"/>
        <v>0.0114000000000001</v>
      </c>
      <c r="X33" s="2">
        <f t="shared" si="18"/>
        <v>0.3955</v>
      </c>
      <c r="Y33" s="2">
        <f t="shared" si="18"/>
        <v>1.3272</v>
      </c>
      <c r="Z33" s="2">
        <f t="shared" si="18"/>
        <v>2.2909</v>
      </c>
      <c r="AA33" s="2">
        <f t="shared" si="18"/>
        <v>3.2648</v>
      </c>
      <c r="AB33" s="2">
        <f t="shared" si="18"/>
        <v>4.244</v>
      </c>
      <c r="AC33" s="2">
        <f t="shared" si="18"/>
        <v>5.2264</v>
      </c>
      <c r="AD33" s="2">
        <f t="shared" si="18"/>
        <v>6.2108</v>
      </c>
      <c r="AE33" s="2">
        <f t="shared" si="18"/>
        <v>7.1971</v>
      </c>
      <c r="AF33" s="2">
        <f t="shared" si="18"/>
        <v>8.184</v>
      </c>
    </row>
    <row r="34" s="2" customFormat="1" spans="2:32">
      <c r="B34" s="2" t="s">
        <v>8</v>
      </c>
      <c r="C34" s="2">
        <f>C32/80000*1000</f>
        <v>0.017165</v>
      </c>
      <c r="D34" s="2">
        <f t="shared" ref="D34:AF34" si="19">D32/80000*1000</f>
        <v>0.01751875</v>
      </c>
      <c r="E34" s="2">
        <f t="shared" si="19"/>
        <v>0.017755</v>
      </c>
      <c r="F34" s="2">
        <f t="shared" si="19"/>
        <v>0.0179425</v>
      </c>
      <c r="G34" s="2">
        <f t="shared" si="19"/>
        <v>0.0181</v>
      </c>
      <c r="H34" s="2">
        <f t="shared" si="19"/>
        <v>0.01823625</v>
      </c>
      <c r="I34" s="2">
        <f t="shared" si="19"/>
        <v>0.0183575</v>
      </c>
      <c r="J34" s="2">
        <f t="shared" si="19"/>
        <v>0.0184675</v>
      </c>
      <c r="K34" s="2">
        <f t="shared" si="19"/>
        <v>0.01856875</v>
      </c>
      <c r="L34" s="2">
        <f t="shared" si="19"/>
        <v>0.0186625</v>
      </c>
      <c r="M34" s="2">
        <f t="shared" si="19"/>
        <v>0.02887375</v>
      </c>
      <c r="N34" s="2">
        <f t="shared" si="19"/>
        <v>0.02928125</v>
      </c>
      <c r="O34" s="2">
        <f t="shared" si="19"/>
        <v>0.029545</v>
      </c>
      <c r="P34" s="2">
        <f t="shared" si="19"/>
        <v>0.02975</v>
      </c>
      <c r="Q34" s="2">
        <f t="shared" si="19"/>
        <v>0.02992125</v>
      </c>
      <c r="R34" s="2">
        <f t="shared" si="19"/>
        <v>0.03006375</v>
      </c>
      <c r="S34" s="2">
        <f t="shared" si="19"/>
        <v>0.03019375</v>
      </c>
      <c r="T34" s="2">
        <f t="shared" si="19"/>
        <v>0.03031125</v>
      </c>
      <c r="U34" s="2">
        <f t="shared" si="19"/>
        <v>0.0304175</v>
      </c>
      <c r="V34" s="2">
        <f t="shared" si="19"/>
        <v>0.03051625</v>
      </c>
      <c r="W34" s="2">
        <f t="shared" si="19"/>
        <v>0.0373575</v>
      </c>
      <c r="X34" s="2">
        <f t="shared" si="19"/>
        <v>0.04505625</v>
      </c>
      <c r="Y34" s="2">
        <f t="shared" si="19"/>
        <v>0.04591</v>
      </c>
      <c r="Z34" s="2">
        <f t="shared" si="19"/>
        <v>0.04636375</v>
      </c>
      <c r="AA34" s="2">
        <f t="shared" si="19"/>
        <v>0.04669</v>
      </c>
      <c r="AB34" s="2">
        <f t="shared" si="19"/>
        <v>0.04695</v>
      </c>
      <c r="AC34" s="2">
        <f t="shared" si="19"/>
        <v>0.04717</v>
      </c>
      <c r="AD34" s="2">
        <f t="shared" si="19"/>
        <v>0.047365</v>
      </c>
      <c r="AE34" s="2">
        <f t="shared" si="19"/>
        <v>0.04753625</v>
      </c>
      <c r="AF34" s="2">
        <f t="shared" si="19"/>
        <v>0.0477</v>
      </c>
    </row>
    <row r="35" s="2" customFormat="1"/>
    <row r="36" s="2" customFormat="1" spans="2:10">
      <c r="B36" s="2" t="s">
        <v>10</v>
      </c>
      <c r="C36" s="2" t="s">
        <v>23</v>
      </c>
      <c r="D36" s="2"/>
      <c r="E36" s="2"/>
      <c r="F36" s="2"/>
      <c r="G36" s="2"/>
      <c r="H36" s="2"/>
      <c r="I36" s="2"/>
      <c r="J36" s="2" t="s">
        <v>24</v>
      </c>
    </row>
    <row r="37" s="2" customFormat="1" spans="2:16">
      <c r="B37" s="2" t="s">
        <v>14</v>
      </c>
      <c r="C37" s="2">
        <v>43</v>
      </c>
      <c r="D37" s="2">
        <v>47</v>
      </c>
      <c r="E37" s="2">
        <v>52</v>
      </c>
      <c r="F37" s="2">
        <v>59</v>
      </c>
      <c r="G37" s="2">
        <v>67</v>
      </c>
      <c r="H37" s="2">
        <v>79</v>
      </c>
      <c r="I37" s="2">
        <v>100</v>
      </c>
      <c r="J37" s="2">
        <v>43</v>
      </c>
      <c r="K37" s="2">
        <v>47</v>
      </c>
      <c r="L37" s="2">
        <v>52</v>
      </c>
      <c r="M37" s="2">
        <v>59</v>
      </c>
      <c r="N37" s="2">
        <v>67</v>
      </c>
      <c r="O37" s="2">
        <v>79</v>
      </c>
      <c r="P37" s="2">
        <v>100</v>
      </c>
    </row>
    <row r="38" s="2" customFormat="1" spans="2:16">
      <c r="B38" s="2" t="s">
        <v>5</v>
      </c>
      <c r="C38" s="2">
        <v>2.2392</v>
      </c>
      <c r="D38" s="2">
        <v>2.2729</v>
      </c>
      <c r="E38" s="2">
        <v>2.34</v>
      </c>
      <c r="F38" s="2">
        <v>2.3719</v>
      </c>
      <c r="G38" s="2">
        <v>2.4136</v>
      </c>
      <c r="H38" s="2">
        <v>2.4733</v>
      </c>
      <c r="I38" s="2">
        <v>2.5721</v>
      </c>
      <c r="J38" s="2">
        <v>4.2629</v>
      </c>
      <c r="K38" s="2">
        <v>4.3149</v>
      </c>
      <c r="L38" s="2">
        <v>4.3692</v>
      </c>
      <c r="M38" s="2">
        <v>4.3768</v>
      </c>
      <c r="N38" s="2">
        <v>4.4211</v>
      </c>
      <c r="O38" s="2">
        <v>4.4881</v>
      </c>
      <c r="P38" s="2">
        <v>4.5833</v>
      </c>
    </row>
    <row r="39" s="2" customFormat="1" spans="2:16">
      <c r="B39" s="2" t="s">
        <v>6</v>
      </c>
      <c r="C39" s="2">
        <v>0.2392</v>
      </c>
      <c r="D39" s="2">
        <v>0.2729</v>
      </c>
      <c r="E39" s="2">
        <v>0.3402</v>
      </c>
      <c r="F39" s="2">
        <v>0.3719</v>
      </c>
      <c r="G39" s="2">
        <v>0.4137</v>
      </c>
      <c r="H39" s="2">
        <v>0.4734</v>
      </c>
      <c r="I39" s="2">
        <v>0.572</v>
      </c>
      <c r="J39" s="2">
        <v>0.2629</v>
      </c>
      <c r="K39" s="2">
        <v>0.3149</v>
      </c>
      <c r="L39" s="2">
        <v>0.3691</v>
      </c>
      <c r="M39" s="2">
        <v>0.3767</v>
      </c>
      <c r="N39" s="2">
        <v>0.421</v>
      </c>
      <c r="O39" s="2">
        <v>0.4882</v>
      </c>
      <c r="P39" s="2">
        <v>0.5834</v>
      </c>
    </row>
    <row r="40" s="2" customFormat="1" spans="2:16">
      <c r="B40" s="2" t="s">
        <v>22</v>
      </c>
      <c r="C40" s="2">
        <f>C38-C39</f>
        <v>2</v>
      </c>
      <c r="D40" s="2">
        <f t="shared" ref="D40:I40" si="20">D38-D39</f>
        <v>2</v>
      </c>
      <c r="E40" s="2">
        <f t="shared" si="20"/>
        <v>1.9998</v>
      </c>
      <c r="F40" s="2">
        <f t="shared" si="20"/>
        <v>2</v>
      </c>
      <c r="G40" s="2">
        <f t="shared" si="20"/>
        <v>1.9999</v>
      </c>
      <c r="H40" s="2">
        <f t="shared" si="20"/>
        <v>1.9999</v>
      </c>
      <c r="I40" s="2">
        <f t="shared" si="20"/>
        <v>2.0001</v>
      </c>
      <c r="J40" s="2">
        <f>J38-J39</f>
        <v>4</v>
      </c>
      <c r="K40" s="2">
        <f t="shared" ref="K40:P40" si="21">K38-K39</f>
        <v>4</v>
      </c>
      <c r="L40" s="2">
        <f t="shared" si="21"/>
        <v>4.0001</v>
      </c>
      <c r="M40" s="2">
        <f t="shared" si="21"/>
        <v>4.0001</v>
      </c>
      <c r="N40" s="2">
        <f t="shared" si="21"/>
        <v>4.0001</v>
      </c>
      <c r="O40" s="2">
        <f t="shared" si="21"/>
        <v>3.9999</v>
      </c>
      <c r="P40" s="2">
        <f t="shared" si="21"/>
        <v>3.9999</v>
      </c>
    </row>
    <row r="41" s="2" customFormat="1" spans="2:16">
      <c r="B41" s="2" t="s">
        <v>8</v>
      </c>
      <c r="C41" s="2">
        <f>C39/80000*1000</f>
        <v>0.00299</v>
      </c>
      <c r="D41" s="2">
        <f t="shared" ref="D41:P41" si="22">D39/80000*1000</f>
        <v>0.00341125</v>
      </c>
      <c r="E41" s="2">
        <f t="shared" si="22"/>
        <v>0.0042525</v>
      </c>
      <c r="F41" s="2">
        <f t="shared" si="22"/>
        <v>0.00464875</v>
      </c>
      <c r="G41" s="2">
        <f t="shared" si="22"/>
        <v>0.00517125</v>
      </c>
      <c r="H41" s="2">
        <f t="shared" si="22"/>
        <v>0.0059175</v>
      </c>
      <c r="I41" s="2">
        <f t="shared" si="22"/>
        <v>0.00715</v>
      </c>
      <c r="J41" s="2">
        <f t="shared" si="22"/>
        <v>0.00328625</v>
      </c>
      <c r="K41" s="2">
        <f t="shared" si="22"/>
        <v>0.00393625</v>
      </c>
      <c r="L41" s="2">
        <f t="shared" si="22"/>
        <v>0.00461375</v>
      </c>
      <c r="M41" s="2">
        <f t="shared" si="22"/>
        <v>0.00470875</v>
      </c>
      <c r="N41" s="2">
        <f t="shared" si="22"/>
        <v>0.0052625</v>
      </c>
      <c r="O41" s="2">
        <f t="shared" si="22"/>
        <v>0.0061025</v>
      </c>
      <c r="P41" s="2">
        <f t="shared" si="22"/>
        <v>0.0072925</v>
      </c>
    </row>
    <row r="42" s="2" customFormat="1"/>
    <row r="43" s="2" customFormat="1" spans="1:10">
      <c r="A43" s="2" t="s">
        <v>25</v>
      </c>
      <c r="B43" s="2" t="s">
        <v>1</v>
      </c>
      <c r="C43" s="2" t="s">
        <v>3</v>
      </c>
      <c r="D43" s="2"/>
      <c r="E43" s="2"/>
      <c r="F43" s="2"/>
      <c r="G43" s="2"/>
      <c r="H43" s="2"/>
      <c r="I43" s="2"/>
      <c r="J43" s="2" t="s">
        <v>4</v>
      </c>
    </row>
    <row r="44" s="2" customFormat="1" spans="2:16">
      <c r="B44" s="2" t="s">
        <v>5</v>
      </c>
      <c r="C44" s="2">
        <v>2</v>
      </c>
      <c r="D44" s="2">
        <v>3</v>
      </c>
      <c r="E44" s="2">
        <v>4</v>
      </c>
      <c r="F44" s="2">
        <v>5</v>
      </c>
      <c r="G44" s="2">
        <v>6</v>
      </c>
      <c r="H44" s="2">
        <v>7</v>
      </c>
      <c r="I44" s="2">
        <v>8</v>
      </c>
      <c r="J44" s="2">
        <v>2</v>
      </c>
      <c r="K44" s="2">
        <v>3</v>
      </c>
      <c r="L44" s="2">
        <v>4</v>
      </c>
      <c r="M44" s="2">
        <v>5</v>
      </c>
      <c r="N44" s="2">
        <v>6</v>
      </c>
      <c r="O44" s="2">
        <v>7</v>
      </c>
      <c r="P44" s="2">
        <v>8</v>
      </c>
    </row>
    <row r="45" s="2" customFormat="1" spans="2:16">
      <c r="B45" s="2" t="s">
        <v>6</v>
      </c>
      <c r="C45" s="2">
        <v>1.7759</v>
      </c>
      <c r="D45" s="2">
        <v>2.0341</v>
      </c>
      <c r="E45" s="2">
        <v>2.0706</v>
      </c>
      <c r="F45" s="2">
        <v>2.1008</v>
      </c>
      <c r="G45" s="2">
        <v>2.1303</v>
      </c>
      <c r="H45" s="2">
        <v>2.158</v>
      </c>
      <c r="I45" s="2">
        <v>2.1848</v>
      </c>
      <c r="J45" s="2">
        <v>1.8265</v>
      </c>
      <c r="K45" s="2">
        <v>2.7506</v>
      </c>
      <c r="L45" s="2">
        <v>3.2845</v>
      </c>
      <c r="M45" s="2">
        <v>3.3593</v>
      </c>
      <c r="N45" s="2">
        <v>3.4124</v>
      </c>
      <c r="O45" s="2">
        <v>3.453</v>
      </c>
      <c r="P45" s="2">
        <v>3.4807</v>
      </c>
    </row>
    <row r="46" s="2" customFormat="1" spans="2:16">
      <c r="B46" s="2" t="s">
        <v>26</v>
      </c>
      <c r="C46" s="2">
        <f>C44-C45</f>
        <v>0.2241</v>
      </c>
      <c r="D46" s="2">
        <f t="shared" ref="D46:I46" si="23">D44-D45</f>
        <v>0.9659</v>
      </c>
      <c r="E46" s="2">
        <f t="shared" si="23"/>
        <v>1.9294</v>
      </c>
      <c r="F46" s="2">
        <f t="shared" si="23"/>
        <v>2.8992</v>
      </c>
      <c r="G46" s="2">
        <f t="shared" si="23"/>
        <v>3.8697</v>
      </c>
      <c r="H46" s="2">
        <f t="shared" si="23"/>
        <v>4.842</v>
      </c>
      <c r="I46" s="2">
        <f t="shared" si="23"/>
        <v>5.8152</v>
      </c>
      <c r="J46" s="2">
        <f t="shared" ref="J46:P46" si="24">J44-J45</f>
        <v>0.1735</v>
      </c>
      <c r="K46" s="2">
        <f t="shared" si="24"/>
        <v>0.2494</v>
      </c>
      <c r="L46" s="2">
        <f t="shared" si="24"/>
        <v>0.7155</v>
      </c>
      <c r="M46" s="2">
        <f t="shared" si="24"/>
        <v>1.6407</v>
      </c>
      <c r="N46" s="2">
        <f t="shared" si="24"/>
        <v>2.5876</v>
      </c>
      <c r="O46" s="2">
        <f t="shared" si="24"/>
        <v>3.547</v>
      </c>
      <c r="P46" s="2">
        <f t="shared" si="24"/>
        <v>4.5193</v>
      </c>
    </row>
    <row r="47" s="2" customFormat="1" spans="2:16">
      <c r="B47" s="2" t="s">
        <v>27</v>
      </c>
      <c r="C47" s="2">
        <f>C45/1000*1000</f>
        <v>1.7759</v>
      </c>
      <c r="D47" s="2">
        <f t="shared" ref="D47:P47" si="25">D45/1000*1000</f>
        <v>2.0341</v>
      </c>
      <c r="E47" s="2">
        <f t="shared" si="25"/>
        <v>2.0706</v>
      </c>
      <c r="F47" s="2">
        <f t="shared" si="25"/>
        <v>2.1008</v>
      </c>
      <c r="G47" s="2">
        <f t="shared" si="25"/>
        <v>2.1303</v>
      </c>
      <c r="H47" s="2">
        <f t="shared" si="25"/>
        <v>2.158</v>
      </c>
      <c r="I47" s="2">
        <f t="shared" si="25"/>
        <v>2.1848</v>
      </c>
      <c r="J47" s="2">
        <f t="shared" si="25"/>
        <v>1.8265</v>
      </c>
      <c r="K47" s="2">
        <f t="shared" si="25"/>
        <v>2.7506</v>
      </c>
      <c r="L47" s="2">
        <f t="shared" si="25"/>
        <v>3.2845</v>
      </c>
      <c r="M47" s="2">
        <f t="shared" si="25"/>
        <v>3.3593</v>
      </c>
      <c r="N47" s="2">
        <f t="shared" si="25"/>
        <v>3.4124</v>
      </c>
      <c r="O47" s="2">
        <f t="shared" si="25"/>
        <v>3.453</v>
      </c>
      <c r="P47" s="2">
        <f t="shared" si="25"/>
        <v>3.4807</v>
      </c>
    </row>
    <row r="48" s="2" customFormat="1"/>
    <row r="49" s="2" customFormat="1" spans="2:10">
      <c r="B49" s="2" t="s">
        <v>10</v>
      </c>
      <c r="C49" s="2" t="s">
        <v>23</v>
      </c>
      <c r="D49" s="2"/>
      <c r="E49" s="2"/>
      <c r="F49" s="2"/>
      <c r="G49" s="2"/>
      <c r="H49" s="2"/>
      <c r="I49" s="2"/>
      <c r="J49" s="2" t="s">
        <v>24</v>
      </c>
    </row>
    <row r="50" s="2" customFormat="1" spans="2:16">
      <c r="B50" s="2" t="s">
        <v>14</v>
      </c>
      <c r="C50" s="2">
        <v>43</v>
      </c>
      <c r="D50" s="2">
        <v>47</v>
      </c>
      <c r="E50" s="2">
        <v>52</v>
      </c>
      <c r="F50" s="2">
        <v>59</v>
      </c>
      <c r="G50" s="2">
        <v>67</v>
      </c>
      <c r="H50" s="2">
        <v>79</v>
      </c>
      <c r="I50" s="2">
        <v>100</v>
      </c>
      <c r="J50" s="2">
        <v>43</v>
      </c>
      <c r="K50" s="2">
        <v>47</v>
      </c>
      <c r="L50" s="2">
        <v>52</v>
      </c>
      <c r="M50" s="2">
        <v>59</v>
      </c>
      <c r="N50" s="2">
        <v>67</v>
      </c>
      <c r="O50" s="2">
        <v>79</v>
      </c>
      <c r="P50" s="2">
        <v>100</v>
      </c>
    </row>
    <row r="51" s="2" customFormat="1" spans="2:16">
      <c r="B51" s="2" t="s">
        <v>5</v>
      </c>
      <c r="C51" s="2">
        <v>2.2842</v>
      </c>
      <c r="D51" s="2">
        <v>2.309</v>
      </c>
      <c r="E51" s="2">
        <v>2.3496</v>
      </c>
      <c r="F51" s="2">
        <v>2.373</v>
      </c>
      <c r="G51" s="2">
        <v>2.4108</v>
      </c>
      <c r="H51" s="2">
        <v>2.5068</v>
      </c>
      <c r="I51" s="2">
        <v>2.6038</v>
      </c>
      <c r="J51" s="2">
        <v>4.298</v>
      </c>
      <c r="K51" s="2">
        <v>4.323</v>
      </c>
      <c r="L51" s="2">
        <v>4.3457</v>
      </c>
      <c r="M51" s="2">
        <v>4.373</v>
      </c>
      <c r="N51" s="2">
        <v>4.4258</v>
      </c>
      <c r="O51" s="2">
        <v>4.5085</v>
      </c>
      <c r="P51" s="2">
        <v>4.6182</v>
      </c>
    </row>
    <row r="52" s="2" customFormat="1" spans="2:16">
      <c r="B52" s="2" t="s">
        <v>6</v>
      </c>
      <c r="C52" s="2">
        <v>0.283</v>
      </c>
      <c r="D52" s="2">
        <v>0.3089</v>
      </c>
      <c r="E52" s="2">
        <v>0.3495</v>
      </c>
      <c r="F52" s="2">
        <v>0.373</v>
      </c>
      <c r="G52" s="2">
        <v>0.4108</v>
      </c>
      <c r="H52" s="2">
        <v>0.5069</v>
      </c>
      <c r="I52" s="2">
        <v>0.6039</v>
      </c>
      <c r="J52" s="2">
        <v>0.2979</v>
      </c>
      <c r="K52" s="2">
        <v>0.3229</v>
      </c>
      <c r="L52" s="2">
        <v>0.3457</v>
      </c>
      <c r="M52" s="2">
        <v>0.3729</v>
      </c>
      <c r="N52" s="2">
        <v>0.4259</v>
      </c>
      <c r="O52" s="2">
        <v>0.5086</v>
      </c>
      <c r="P52" s="2">
        <v>0.6182</v>
      </c>
    </row>
    <row r="53" s="2" customFormat="1" spans="2:16">
      <c r="B53" s="2" t="s">
        <v>22</v>
      </c>
      <c r="C53" s="2">
        <f>C51-C52</f>
        <v>2.0012</v>
      </c>
      <c r="D53" s="2">
        <f t="shared" ref="D53:P53" si="26">D51-D52</f>
        <v>2.0001</v>
      </c>
      <c r="E53" s="2">
        <f t="shared" si="26"/>
        <v>2.0001</v>
      </c>
      <c r="F53" s="2">
        <f t="shared" si="26"/>
        <v>2</v>
      </c>
      <c r="G53" s="2">
        <f t="shared" si="26"/>
        <v>2</v>
      </c>
      <c r="H53" s="2">
        <f t="shared" si="26"/>
        <v>1.9999</v>
      </c>
      <c r="I53" s="2">
        <f t="shared" si="26"/>
        <v>1.9999</v>
      </c>
      <c r="J53" s="2">
        <f t="shared" si="26"/>
        <v>4.0001</v>
      </c>
      <c r="K53" s="2">
        <f t="shared" si="26"/>
        <v>4.0001</v>
      </c>
      <c r="L53" s="2">
        <f t="shared" si="26"/>
        <v>4</v>
      </c>
      <c r="M53" s="2">
        <f t="shared" si="26"/>
        <v>4.0001</v>
      </c>
      <c r="N53" s="2">
        <f t="shared" si="26"/>
        <v>3.9999</v>
      </c>
      <c r="O53" s="2">
        <f t="shared" si="26"/>
        <v>3.9999</v>
      </c>
      <c r="P53" s="2">
        <f t="shared" si="26"/>
        <v>4</v>
      </c>
    </row>
    <row r="54" s="2" customFormat="1" spans="2:16">
      <c r="B54" s="2" t="s">
        <v>8</v>
      </c>
      <c r="C54" s="2">
        <f>C52/1000*1000</f>
        <v>0.283</v>
      </c>
      <c r="D54" s="2">
        <f t="shared" ref="D54:P54" si="27">D52/1000*1000</f>
        <v>0.3089</v>
      </c>
      <c r="E54" s="2">
        <f t="shared" si="27"/>
        <v>0.3495</v>
      </c>
      <c r="F54" s="2">
        <f t="shared" si="27"/>
        <v>0.373</v>
      </c>
      <c r="G54" s="2">
        <f t="shared" si="27"/>
        <v>0.4108</v>
      </c>
      <c r="H54" s="2">
        <f t="shared" si="27"/>
        <v>0.5069</v>
      </c>
      <c r="I54" s="2">
        <f t="shared" si="27"/>
        <v>0.6039</v>
      </c>
      <c r="J54" s="2">
        <f t="shared" si="27"/>
        <v>0.2979</v>
      </c>
      <c r="K54" s="2">
        <f t="shared" si="27"/>
        <v>0.3229</v>
      </c>
      <c r="L54" s="2">
        <f t="shared" si="27"/>
        <v>0.3457</v>
      </c>
      <c r="M54" s="2">
        <f t="shared" si="27"/>
        <v>0.3729</v>
      </c>
      <c r="N54" s="2">
        <f t="shared" si="27"/>
        <v>0.4259</v>
      </c>
      <c r="O54" s="2">
        <f t="shared" si="27"/>
        <v>0.5086</v>
      </c>
      <c r="P54" s="2">
        <f t="shared" si="27"/>
        <v>0.6182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2025-05-26T09:32:06Z</dcterms:created>
  <dcterms:modified xsi:type="dcterms:W3CDTF">2025-05-28T09:43:42Z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20589F337B994E0B9E8946600418C55E</vt:lpwstr>
  </property>
  <property fmtid="{D5CDD505-2E9C-101B-9397-08002B2CF9AE}" pid="3" name="KSOProductBuildVer">
    <vt:lpwstr>2052-11.8.2.11500</vt:lpwstr>
  </property>
</Properties>
</file>