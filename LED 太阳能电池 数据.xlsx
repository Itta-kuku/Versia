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<sst xmlns="http://schemas.openxmlformats.org/spreadsheetml/2006/main" count="80" uniqueCount="32">
  <si>
    <t>LED伏安</t>
  </si>
  <si>
    <t>白</t>
  </si>
  <si>
    <t>正</t>
  </si>
  <si>
    <t>U</t>
  </si>
  <si>
    <t>I  mA</t>
  </si>
  <si>
    <t>反</t>
  </si>
  <si>
    <t>I  uA</t>
  </si>
  <si>
    <t>红</t>
  </si>
  <si>
    <t>I</t>
  </si>
  <si>
    <t>绿</t>
  </si>
  <si>
    <t>蓝</t>
  </si>
  <si>
    <t>LED光强</t>
  </si>
  <si>
    <t>mcd *10</t>
  </si>
  <si>
    <t>LED角分布</t>
  </si>
  <si>
    <t>角度</t>
  </si>
  <si>
    <t>LED温度特性</t>
  </si>
  <si>
    <t>温度</t>
  </si>
  <si>
    <t>80mA</t>
  </si>
  <si>
    <t>mcd *100</t>
  </si>
  <si>
    <t>2.8V</t>
  </si>
  <si>
    <t>I mA</t>
  </si>
  <si>
    <t>太阳能电池伏安</t>
  </si>
  <si>
    <t>R</t>
  </si>
  <si>
    <t>P</t>
  </si>
  <si>
    <t>遮挡</t>
  </si>
  <si>
    <t>纵</t>
  </si>
  <si>
    <t>比例</t>
  </si>
  <si>
    <t>横</t>
  </si>
  <si>
    <t>充电</t>
  </si>
  <si>
    <t>直接</t>
  </si>
  <si>
    <t>t</t>
  </si>
  <si>
    <t>DC-DC</t>
  </si>
</sst>
</file>

<file path=xl/styles.xml><?xml version="1.0" encoding="utf-8"?>
<styleSheet xmlns="http://schemas.openxmlformats.org/spreadsheetml/2006/main">
  <numFmts count="7">
    <numFmt numFmtId="176" formatCode="0.0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0.00_ "/>
    <numFmt numFmtId="42" formatCode="_ &quot;￥&quot;* #,##0_ ;_ &quot;￥&quot;* \-#,##0_ ;_ &quot;￥&quot;* &quot;-&quot;_ ;_ @_ "/>
    <numFmt numFmtId="43" formatCode="_ * #,##0.00_ ;_ * \-#,##0.00_ ;_ * &quot;-&quot;??_ ;_ @_ "/>
    <numFmt numFmtId="178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19" fillId="13" borderId="1" applyNumberFormat="0" applyAlignment="0" applyProtection="0">
      <alignment vertical="center"/>
    </xf>
    <xf numFmtId="0" fontId="7" fillId="12" borderId="2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0" fillId="0" borderId="0" xfId="11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5"/>
  <sheetViews>
    <sheetView tabSelected="1" topLeftCell="A37" workbookViewId="0">
      <selection activeCell="B42" sqref="B42:H45"/>
    </sheetView>
  </sheetViews>
  <sheetFormatPr defaultColWidth="8.72727272727273" defaultRowHeight="14"/>
  <sheetData>
    <row r="1" spans="1:2">
      <c r="A1" t="s">
        <v>0</v>
      </c>
      <c r="B1" t="s">
        <v>1</v>
      </c>
    </row>
    <row r="2" spans="2:16">
      <c r="B2" t="s">
        <v>2</v>
      </c>
      <c r="C2" t="s">
        <v>3</v>
      </c>
      <c r="D2">
        <v>2.42</v>
      </c>
      <c r="E2">
        <v>2.43</v>
      </c>
      <c r="F2">
        <v>2.45</v>
      </c>
      <c r="G2" s="1">
        <v>2.5</v>
      </c>
      <c r="H2">
        <v>2.55</v>
      </c>
      <c r="I2">
        <v>2.6</v>
      </c>
      <c r="J2">
        <v>2.65</v>
      </c>
      <c r="K2" s="1">
        <v>2.7</v>
      </c>
      <c r="L2">
        <v>2.75</v>
      </c>
      <c r="M2">
        <v>2.8</v>
      </c>
      <c r="N2">
        <v>2.85</v>
      </c>
      <c r="O2" s="1">
        <v>2.9</v>
      </c>
      <c r="P2" s="1">
        <v>3</v>
      </c>
    </row>
    <row r="3" spans="3:16">
      <c r="C3" t="s">
        <v>4</v>
      </c>
      <c r="D3">
        <v>0</v>
      </c>
      <c r="E3">
        <v>0.01</v>
      </c>
      <c r="F3">
        <v>0.03</v>
      </c>
      <c r="G3">
        <v>0.16</v>
      </c>
      <c r="H3">
        <v>0.91</v>
      </c>
      <c r="I3">
        <v>3.78</v>
      </c>
      <c r="J3">
        <v>11</v>
      </c>
      <c r="K3">
        <v>23</v>
      </c>
      <c r="L3">
        <v>36</v>
      </c>
      <c r="M3">
        <v>53</v>
      </c>
      <c r="N3">
        <v>68</v>
      </c>
      <c r="O3">
        <v>91</v>
      </c>
      <c r="P3">
        <v>133</v>
      </c>
    </row>
    <row r="4" spans="2:8">
      <c r="B4" t="s">
        <v>5</v>
      </c>
      <c r="C4" t="s">
        <v>3</v>
      </c>
      <c r="D4">
        <v>1</v>
      </c>
      <c r="E4">
        <v>2</v>
      </c>
      <c r="F4">
        <v>3</v>
      </c>
      <c r="G4">
        <v>4</v>
      </c>
      <c r="H4">
        <v>5</v>
      </c>
    </row>
    <row r="5" spans="3:8">
      <c r="C5" t="s">
        <v>6</v>
      </c>
      <c r="D5">
        <v>0.1</v>
      </c>
      <c r="E5">
        <v>0.2</v>
      </c>
      <c r="F5">
        <v>0.3</v>
      </c>
      <c r="G5">
        <v>0.4</v>
      </c>
      <c r="H5">
        <v>0.5</v>
      </c>
    </row>
    <row r="6" spans="2:2">
      <c r="B6" t="s">
        <v>7</v>
      </c>
    </row>
    <row r="7" spans="2:15">
      <c r="B7" t="s">
        <v>2</v>
      </c>
      <c r="C7" t="s">
        <v>3</v>
      </c>
      <c r="D7">
        <v>1.47</v>
      </c>
      <c r="E7" s="1">
        <v>1.5</v>
      </c>
      <c r="F7">
        <v>1.51</v>
      </c>
      <c r="G7" s="1">
        <v>1.6</v>
      </c>
      <c r="H7">
        <v>1.65</v>
      </c>
      <c r="I7" s="1">
        <v>1.7</v>
      </c>
      <c r="J7">
        <v>1.75</v>
      </c>
      <c r="K7" s="1">
        <v>1.8</v>
      </c>
      <c r="L7">
        <v>1.85</v>
      </c>
      <c r="M7" s="1">
        <v>1.9</v>
      </c>
      <c r="N7" s="1">
        <v>2</v>
      </c>
      <c r="O7">
        <v>2.25</v>
      </c>
    </row>
    <row r="8" spans="3:15">
      <c r="C8" t="s">
        <v>8</v>
      </c>
      <c r="D8">
        <v>0</v>
      </c>
      <c r="E8">
        <v>0.01</v>
      </c>
      <c r="F8">
        <v>0.03</v>
      </c>
      <c r="G8">
        <v>0.11</v>
      </c>
      <c r="H8">
        <v>0.43</v>
      </c>
      <c r="I8">
        <v>1.36</v>
      </c>
      <c r="J8">
        <v>4.46</v>
      </c>
      <c r="K8">
        <v>12.95</v>
      </c>
      <c r="L8">
        <v>30</v>
      </c>
      <c r="M8">
        <v>54</v>
      </c>
      <c r="N8">
        <v>114</v>
      </c>
      <c r="O8">
        <v>298</v>
      </c>
    </row>
    <row r="9" spans="2:8">
      <c r="B9" t="s">
        <v>5</v>
      </c>
      <c r="C9" t="s">
        <v>3</v>
      </c>
      <c r="D9" s="1">
        <v>0.3</v>
      </c>
      <c r="E9" s="1">
        <v>1.3</v>
      </c>
      <c r="F9">
        <v>2.25</v>
      </c>
      <c r="G9">
        <v>3.21</v>
      </c>
      <c r="H9">
        <v>4.16</v>
      </c>
    </row>
    <row r="10" spans="3:8">
      <c r="C10" t="s">
        <v>8</v>
      </c>
      <c r="D10">
        <v>0.1</v>
      </c>
      <c r="E10">
        <v>0.2</v>
      </c>
      <c r="F10">
        <v>0.3</v>
      </c>
      <c r="G10">
        <v>0.4</v>
      </c>
      <c r="H10">
        <v>0.5</v>
      </c>
    </row>
    <row r="11" spans="2:2">
      <c r="B11" t="s">
        <v>9</v>
      </c>
    </row>
    <row r="12" spans="2:15">
      <c r="B12" t="s">
        <v>2</v>
      </c>
      <c r="C12" t="s">
        <v>3</v>
      </c>
      <c r="D12">
        <v>1.88</v>
      </c>
      <c r="E12">
        <v>1.95</v>
      </c>
      <c r="F12" s="1">
        <v>2</v>
      </c>
      <c r="G12">
        <v>2.05</v>
      </c>
      <c r="H12" s="1">
        <v>2.1</v>
      </c>
      <c r="I12">
        <v>2.15</v>
      </c>
      <c r="J12" s="1">
        <v>2.2</v>
      </c>
      <c r="K12">
        <v>2.25</v>
      </c>
      <c r="L12" s="1">
        <v>2.3</v>
      </c>
      <c r="M12">
        <v>2.35</v>
      </c>
      <c r="N12" s="1">
        <v>2.4</v>
      </c>
      <c r="O12" s="1">
        <v>2.5</v>
      </c>
    </row>
    <row r="13" spans="3:15">
      <c r="C13" t="s">
        <v>8</v>
      </c>
      <c r="D13">
        <v>0</v>
      </c>
      <c r="E13">
        <v>0.02</v>
      </c>
      <c r="F13">
        <v>0.09</v>
      </c>
      <c r="G13">
        <v>0.27</v>
      </c>
      <c r="H13">
        <v>1.01</v>
      </c>
      <c r="I13">
        <v>3.74</v>
      </c>
      <c r="J13">
        <v>11.64</v>
      </c>
      <c r="K13">
        <v>27</v>
      </c>
      <c r="L13">
        <v>47</v>
      </c>
      <c r="M13">
        <v>73</v>
      </c>
      <c r="N13">
        <v>107</v>
      </c>
      <c r="O13">
        <v>178</v>
      </c>
    </row>
    <row r="14" spans="2:8">
      <c r="B14" t="s">
        <v>5</v>
      </c>
      <c r="C14" t="s">
        <v>3</v>
      </c>
      <c r="D14" s="1">
        <v>0.5</v>
      </c>
      <c r="E14" s="1">
        <v>1.5</v>
      </c>
      <c r="F14">
        <v>2.44</v>
      </c>
      <c r="G14">
        <v>3.38</v>
      </c>
      <c r="H14">
        <v>4.18</v>
      </c>
    </row>
    <row r="15" spans="3:8">
      <c r="C15" t="s">
        <v>8</v>
      </c>
      <c r="D15">
        <v>0.1</v>
      </c>
      <c r="E15">
        <v>0.2</v>
      </c>
      <c r="F15">
        <v>0.3</v>
      </c>
      <c r="G15">
        <v>0.4</v>
      </c>
      <c r="H15">
        <v>0.5</v>
      </c>
    </row>
    <row r="16" spans="2:2">
      <c r="B16" t="s">
        <v>10</v>
      </c>
    </row>
    <row r="17" spans="2:16">
      <c r="B17" t="s">
        <v>2</v>
      </c>
      <c r="C17" t="s">
        <v>3</v>
      </c>
      <c r="D17">
        <v>2.29</v>
      </c>
      <c r="E17" s="1">
        <v>2.3</v>
      </c>
      <c r="F17">
        <v>2.35</v>
      </c>
      <c r="G17" s="1">
        <v>2.4</v>
      </c>
      <c r="H17">
        <v>2.45</v>
      </c>
      <c r="I17" s="1">
        <v>2.5</v>
      </c>
      <c r="J17">
        <v>2.55</v>
      </c>
      <c r="K17" s="1">
        <v>2.6</v>
      </c>
      <c r="L17">
        <v>2.65</v>
      </c>
      <c r="M17" s="1">
        <v>2.7</v>
      </c>
      <c r="N17">
        <v>2.75</v>
      </c>
      <c r="O17" s="1">
        <v>2.8</v>
      </c>
      <c r="P17" s="1">
        <v>2.9</v>
      </c>
    </row>
    <row r="18" spans="3:16">
      <c r="C18" t="s">
        <v>8</v>
      </c>
      <c r="D18">
        <v>0</v>
      </c>
      <c r="E18">
        <v>0.01</v>
      </c>
      <c r="F18">
        <v>0.03</v>
      </c>
      <c r="G18">
        <v>0.11</v>
      </c>
      <c r="H18">
        <v>0.43</v>
      </c>
      <c r="I18">
        <v>1.64</v>
      </c>
      <c r="J18">
        <v>4.67</v>
      </c>
      <c r="K18">
        <v>11.11</v>
      </c>
      <c r="L18">
        <v>22</v>
      </c>
      <c r="M18">
        <v>36</v>
      </c>
      <c r="N18">
        <v>51</v>
      </c>
      <c r="O18">
        <v>70</v>
      </c>
      <c r="P18">
        <v>117</v>
      </c>
    </row>
    <row r="19" spans="2:9">
      <c r="B19" t="s">
        <v>5</v>
      </c>
      <c r="C19" t="s">
        <v>3</v>
      </c>
      <c r="D19">
        <v>0.54</v>
      </c>
      <c r="E19">
        <v>0.7</v>
      </c>
      <c r="F19">
        <v>1.71</v>
      </c>
      <c r="G19">
        <v>2.76</v>
      </c>
      <c r="H19">
        <v>3.75</v>
      </c>
      <c r="I19">
        <v>4.78</v>
      </c>
    </row>
    <row r="20" spans="3:9">
      <c r="C20" t="s">
        <v>8</v>
      </c>
      <c r="D20">
        <v>0</v>
      </c>
      <c r="E20">
        <v>0.1</v>
      </c>
      <c r="F20">
        <v>0.2</v>
      </c>
      <c r="G20">
        <v>0.3</v>
      </c>
      <c r="H20">
        <v>0.4</v>
      </c>
      <c r="I20">
        <v>0.5</v>
      </c>
    </row>
    <row r="21" spans="1:14">
      <c r="A21" t="s">
        <v>11</v>
      </c>
      <c r="B21" t="s">
        <v>10</v>
      </c>
      <c r="C21" t="s">
        <v>8</v>
      </c>
      <c r="D21">
        <v>5</v>
      </c>
      <c r="E21">
        <v>10</v>
      </c>
      <c r="F21">
        <v>15</v>
      </c>
      <c r="G21">
        <v>20</v>
      </c>
      <c r="H21">
        <v>40</v>
      </c>
      <c r="I21">
        <v>60</v>
      </c>
      <c r="J21">
        <v>80</v>
      </c>
      <c r="K21">
        <v>100</v>
      </c>
      <c r="L21">
        <v>120</v>
      </c>
      <c r="M21">
        <v>140</v>
      </c>
      <c r="N21">
        <v>160</v>
      </c>
    </row>
    <row r="22" spans="3:14">
      <c r="C22" t="s">
        <v>12</v>
      </c>
      <c r="D22">
        <v>2.8</v>
      </c>
      <c r="E22">
        <v>5.3</v>
      </c>
      <c r="F22">
        <v>7.8</v>
      </c>
      <c r="G22">
        <v>10.6</v>
      </c>
      <c r="H22">
        <v>20.4</v>
      </c>
      <c r="I22">
        <v>30.1</v>
      </c>
      <c r="J22">
        <v>38.7</v>
      </c>
      <c r="K22">
        <v>47.1</v>
      </c>
      <c r="L22">
        <v>55.2</v>
      </c>
      <c r="M22">
        <v>63.2</v>
      </c>
      <c r="N22">
        <v>71.3</v>
      </c>
    </row>
    <row r="23" spans="2:14">
      <c r="B23" t="s">
        <v>9</v>
      </c>
      <c r="C23" t="s">
        <v>8</v>
      </c>
      <c r="E23">
        <v>10</v>
      </c>
      <c r="F23">
        <v>15</v>
      </c>
      <c r="G23">
        <v>20</v>
      </c>
      <c r="H23">
        <v>40</v>
      </c>
      <c r="I23">
        <v>60</v>
      </c>
      <c r="J23">
        <v>80</v>
      </c>
      <c r="K23">
        <v>100</v>
      </c>
      <c r="L23">
        <v>120</v>
      </c>
      <c r="M23">
        <v>140</v>
      </c>
      <c r="N23">
        <v>160</v>
      </c>
    </row>
    <row r="24" spans="3:14">
      <c r="C24" t="s">
        <v>12</v>
      </c>
      <c r="E24">
        <v>3.7</v>
      </c>
      <c r="F24" s="2">
        <v>6</v>
      </c>
      <c r="G24">
        <v>8.2</v>
      </c>
      <c r="H24">
        <v>16.4</v>
      </c>
      <c r="I24" s="2">
        <v>24</v>
      </c>
      <c r="J24">
        <v>31.3</v>
      </c>
      <c r="K24">
        <v>38.2</v>
      </c>
      <c r="L24">
        <v>44.9</v>
      </c>
      <c r="M24">
        <v>51.1</v>
      </c>
      <c r="N24">
        <v>57</v>
      </c>
    </row>
    <row r="25" spans="2:14">
      <c r="B25" t="s">
        <v>7</v>
      </c>
      <c r="C25" t="s">
        <v>8</v>
      </c>
      <c r="E25">
        <v>10</v>
      </c>
      <c r="F25">
        <v>15</v>
      </c>
      <c r="G25">
        <v>20</v>
      </c>
      <c r="H25">
        <v>40</v>
      </c>
      <c r="I25">
        <v>60</v>
      </c>
      <c r="J25">
        <v>80</v>
      </c>
      <c r="K25">
        <v>100</v>
      </c>
      <c r="L25">
        <v>120</v>
      </c>
      <c r="M25">
        <v>140</v>
      </c>
      <c r="N25">
        <v>160</v>
      </c>
    </row>
    <row r="26" spans="3:14">
      <c r="C26" t="s">
        <v>12</v>
      </c>
      <c r="E26">
        <v>5.6</v>
      </c>
      <c r="F26">
        <v>8.8</v>
      </c>
      <c r="G26">
        <v>11.7</v>
      </c>
      <c r="H26">
        <v>25.4</v>
      </c>
      <c r="I26">
        <v>39.1</v>
      </c>
      <c r="J26">
        <v>52.5</v>
      </c>
      <c r="K26">
        <v>66.3</v>
      </c>
      <c r="L26">
        <v>80.4</v>
      </c>
      <c r="M26">
        <v>93.6</v>
      </c>
      <c r="N26">
        <v>107.2</v>
      </c>
    </row>
    <row r="27" spans="2:14">
      <c r="B27" t="s">
        <v>1</v>
      </c>
      <c r="C27" t="s">
        <v>8</v>
      </c>
      <c r="D27">
        <v>5</v>
      </c>
      <c r="E27">
        <v>10</v>
      </c>
      <c r="F27">
        <v>15</v>
      </c>
      <c r="G27">
        <v>20</v>
      </c>
      <c r="H27">
        <v>40</v>
      </c>
      <c r="I27">
        <v>60</v>
      </c>
      <c r="J27">
        <v>80</v>
      </c>
      <c r="K27">
        <v>100</v>
      </c>
      <c r="L27">
        <v>120</v>
      </c>
      <c r="M27">
        <v>140</v>
      </c>
      <c r="N27">
        <v>160</v>
      </c>
    </row>
    <row r="28" spans="3:14">
      <c r="C28" t="s">
        <v>12</v>
      </c>
      <c r="D28">
        <v>6.7</v>
      </c>
      <c r="E28">
        <v>13.3</v>
      </c>
      <c r="F28">
        <v>19.9</v>
      </c>
      <c r="G28">
        <v>26.9</v>
      </c>
      <c r="H28">
        <v>52.8</v>
      </c>
      <c r="I28" s="2">
        <v>78</v>
      </c>
      <c r="J28" s="2">
        <v>102</v>
      </c>
      <c r="K28">
        <v>124.8</v>
      </c>
      <c r="L28" s="2">
        <v>148</v>
      </c>
      <c r="M28" s="2">
        <v>170</v>
      </c>
      <c r="N28" s="2">
        <v>191</v>
      </c>
    </row>
    <row r="29" spans="1:22">
      <c r="A29" t="s">
        <v>13</v>
      </c>
      <c r="B29" t="s">
        <v>1</v>
      </c>
      <c r="C29" t="s">
        <v>14</v>
      </c>
      <c r="D29">
        <v>-90</v>
      </c>
      <c r="E29">
        <f>D29+10</f>
        <v>-80</v>
      </c>
      <c r="F29">
        <f t="shared" ref="F29:U29" si="0">E29+10</f>
        <v>-70</v>
      </c>
      <c r="G29">
        <f t="shared" si="0"/>
        <v>-60</v>
      </c>
      <c r="H29">
        <f t="shared" si="0"/>
        <v>-50</v>
      </c>
      <c r="I29">
        <f t="shared" si="0"/>
        <v>-40</v>
      </c>
      <c r="J29">
        <f t="shared" si="0"/>
        <v>-30</v>
      </c>
      <c r="K29">
        <f t="shared" si="0"/>
        <v>-20</v>
      </c>
      <c r="L29">
        <f t="shared" si="0"/>
        <v>-10</v>
      </c>
      <c r="M29">
        <f t="shared" si="0"/>
        <v>0</v>
      </c>
      <c r="N29">
        <f t="shared" si="0"/>
        <v>10</v>
      </c>
      <c r="O29">
        <f t="shared" si="0"/>
        <v>20</v>
      </c>
      <c r="P29">
        <f t="shared" si="0"/>
        <v>30</v>
      </c>
      <c r="Q29">
        <f t="shared" si="0"/>
        <v>40</v>
      </c>
      <c r="R29">
        <f t="shared" si="0"/>
        <v>50</v>
      </c>
      <c r="S29">
        <f t="shared" si="0"/>
        <v>60</v>
      </c>
      <c r="T29">
        <f t="shared" si="0"/>
        <v>70</v>
      </c>
      <c r="U29">
        <f t="shared" si="0"/>
        <v>80</v>
      </c>
      <c r="V29">
        <f>U29+10</f>
        <v>90</v>
      </c>
    </row>
    <row r="30" spans="3:22">
      <c r="C30" t="s">
        <v>12</v>
      </c>
      <c r="D30">
        <v>0.8</v>
      </c>
      <c r="E30">
        <v>6.1</v>
      </c>
      <c r="F30">
        <v>19.4</v>
      </c>
      <c r="G30">
        <v>33</v>
      </c>
      <c r="H30">
        <v>42.5</v>
      </c>
      <c r="I30">
        <v>53.1</v>
      </c>
      <c r="J30">
        <v>73.4</v>
      </c>
      <c r="K30">
        <v>74.9</v>
      </c>
      <c r="L30">
        <v>83.3</v>
      </c>
      <c r="M30">
        <v>94.5</v>
      </c>
      <c r="N30">
        <v>90.8</v>
      </c>
      <c r="O30">
        <v>87.7</v>
      </c>
      <c r="P30">
        <v>79.2</v>
      </c>
      <c r="Q30">
        <v>68.1</v>
      </c>
      <c r="R30">
        <v>57.4</v>
      </c>
      <c r="S30">
        <v>45.2</v>
      </c>
      <c r="T30">
        <v>37.3</v>
      </c>
      <c r="U30">
        <v>31.4</v>
      </c>
      <c r="V30">
        <v>21.8</v>
      </c>
    </row>
    <row r="31" spans="2:22">
      <c r="B31" t="s">
        <v>7</v>
      </c>
      <c r="C31" t="s">
        <v>14</v>
      </c>
      <c r="D31">
        <v>-90</v>
      </c>
      <c r="E31">
        <f t="shared" ref="E31:V31" si="1">D31+10</f>
        <v>-80</v>
      </c>
      <c r="F31">
        <f t="shared" si="1"/>
        <v>-70</v>
      </c>
      <c r="G31">
        <f t="shared" si="1"/>
        <v>-60</v>
      </c>
      <c r="H31">
        <f t="shared" si="1"/>
        <v>-50</v>
      </c>
      <c r="I31">
        <f t="shared" si="1"/>
        <v>-40</v>
      </c>
      <c r="J31">
        <f t="shared" si="1"/>
        <v>-30</v>
      </c>
      <c r="K31">
        <f t="shared" si="1"/>
        <v>-20</v>
      </c>
      <c r="L31">
        <f t="shared" si="1"/>
        <v>-10</v>
      </c>
      <c r="M31">
        <f t="shared" si="1"/>
        <v>0</v>
      </c>
      <c r="N31">
        <f t="shared" si="1"/>
        <v>10</v>
      </c>
      <c r="O31">
        <f t="shared" si="1"/>
        <v>20</v>
      </c>
      <c r="P31">
        <f t="shared" si="1"/>
        <v>30</v>
      </c>
      <c r="Q31">
        <f t="shared" si="1"/>
        <v>40</v>
      </c>
      <c r="R31">
        <f t="shared" si="1"/>
        <v>50</v>
      </c>
      <c r="S31">
        <f t="shared" si="1"/>
        <v>60</v>
      </c>
      <c r="T31">
        <f t="shared" si="1"/>
        <v>70</v>
      </c>
      <c r="U31">
        <f t="shared" si="1"/>
        <v>80</v>
      </c>
      <c r="V31">
        <f t="shared" si="1"/>
        <v>90</v>
      </c>
    </row>
    <row r="32" spans="3:22">
      <c r="C32" t="s">
        <v>12</v>
      </c>
      <c r="D32">
        <v>1.5</v>
      </c>
      <c r="E32">
        <v>7.2</v>
      </c>
      <c r="F32">
        <v>13.7</v>
      </c>
      <c r="G32">
        <v>16.3</v>
      </c>
      <c r="H32">
        <v>18.1</v>
      </c>
      <c r="I32">
        <v>26.2</v>
      </c>
      <c r="J32">
        <v>28.1</v>
      </c>
      <c r="K32">
        <v>29.1</v>
      </c>
      <c r="L32">
        <v>29.4</v>
      </c>
      <c r="M32">
        <v>31.1</v>
      </c>
      <c r="N32">
        <v>28.4</v>
      </c>
      <c r="O32">
        <v>26.5</v>
      </c>
      <c r="P32">
        <v>25.3</v>
      </c>
      <c r="Q32">
        <v>23.7</v>
      </c>
      <c r="R32">
        <v>17.4</v>
      </c>
      <c r="S32">
        <v>11.3</v>
      </c>
      <c r="T32">
        <v>10.5</v>
      </c>
      <c r="U32">
        <v>4.6</v>
      </c>
      <c r="V32">
        <v>0.5</v>
      </c>
    </row>
    <row r="33" spans="1:10">
      <c r="A33" t="s">
        <v>15</v>
      </c>
      <c r="B33" t="s">
        <v>16</v>
      </c>
      <c r="C33">
        <v>0</v>
      </c>
      <c r="D33">
        <f>C33+10</f>
        <v>10</v>
      </c>
      <c r="E33">
        <f>D33+10</f>
        <v>20</v>
      </c>
      <c r="F33">
        <f>E33+10</f>
        <v>30</v>
      </c>
      <c r="G33">
        <f>F33+10</f>
        <v>40</v>
      </c>
      <c r="H33">
        <f>G33+10</f>
        <v>50</v>
      </c>
      <c r="I33">
        <f>H33+10</f>
        <v>60</v>
      </c>
      <c r="J33">
        <f>I33+10</f>
        <v>70</v>
      </c>
    </row>
    <row r="34" spans="1:10">
      <c r="A34" t="s">
        <v>17</v>
      </c>
      <c r="B34" t="s">
        <v>18</v>
      </c>
      <c r="C34">
        <v>52.6</v>
      </c>
      <c r="D34">
        <v>52.3</v>
      </c>
      <c r="E34">
        <v>51.7</v>
      </c>
      <c r="F34">
        <v>50.7</v>
      </c>
      <c r="G34">
        <v>49.6</v>
      </c>
      <c r="H34">
        <v>48.6</v>
      </c>
      <c r="I34">
        <v>47.4</v>
      </c>
      <c r="J34">
        <v>46.2</v>
      </c>
    </row>
    <row r="35" spans="2:10">
      <c r="B35" t="s">
        <v>3</v>
      </c>
      <c r="C35">
        <v>2.94</v>
      </c>
      <c r="D35">
        <v>2.93</v>
      </c>
      <c r="E35">
        <v>2.9</v>
      </c>
      <c r="F35">
        <v>2.89</v>
      </c>
      <c r="G35">
        <v>2.87</v>
      </c>
      <c r="H35">
        <v>2.86</v>
      </c>
      <c r="I35">
        <v>2.82</v>
      </c>
      <c r="J35" s="1">
        <v>2.8</v>
      </c>
    </row>
    <row r="36" spans="1:10">
      <c r="A36" t="s">
        <v>19</v>
      </c>
      <c r="B36" t="s">
        <v>18</v>
      </c>
      <c r="C36">
        <v>25.6</v>
      </c>
      <c r="D36">
        <v>30.5</v>
      </c>
      <c r="E36" s="2">
        <v>33</v>
      </c>
      <c r="F36">
        <v>36.5</v>
      </c>
      <c r="G36">
        <v>42.6</v>
      </c>
      <c r="H36">
        <v>44.9</v>
      </c>
      <c r="I36">
        <v>47.6</v>
      </c>
      <c r="J36">
        <v>48.5</v>
      </c>
    </row>
    <row r="37" spans="2:10">
      <c r="B37" t="s">
        <v>20</v>
      </c>
      <c r="C37">
        <v>38</v>
      </c>
      <c r="D37">
        <v>46</v>
      </c>
      <c r="E37">
        <v>51</v>
      </c>
      <c r="F37">
        <v>58</v>
      </c>
      <c r="G37">
        <v>70</v>
      </c>
      <c r="H37">
        <v>76</v>
      </c>
      <c r="I37">
        <v>83</v>
      </c>
      <c r="J37">
        <v>86</v>
      </c>
    </row>
    <row r="38" spans="1:23">
      <c r="A38" t="s">
        <v>21</v>
      </c>
      <c r="B38" t="s">
        <v>3</v>
      </c>
      <c r="C38">
        <v>0.05</v>
      </c>
      <c r="D38">
        <v>1.05</v>
      </c>
      <c r="E38">
        <v>2.96</v>
      </c>
      <c r="F38">
        <v>4.79</v>
      </c>
      <c r="G38">
        <v>6.53</v>
      </c>
      <c r="H38">
        <v>9.05</v>
      </c>
      <c r="I38">
        <v>10.61</v>
      </c>
      <c r="J38">
        <v>10.85</v>
      </c>
      <c r="K38">
        <v>11.09</v>
      </c>
      <c r="L38">
        <v>11.24</v>
      </c>
      <c r="M38" s="1">
        <v>11.4</v>
      </c>
      <c r="N38">
        <v>11.67</v>
      </c>
      <c r="O38">
        <v>11.86</v>
      </c>
      <c r="P38">
        <v>12.04</v>
      </c>
      <c r="Q38">
        <v>12.38</v>
      </c>
      <c r="R38">
        <v>12.7</v>
      </c>
      <c r="S38">
        <v>12.88</v>
      </c>
      <c r="T38">
        <v>13.08</v>
      </c>
      <c r="U38">
        <v>13.18</v>
      </c>
      <c r="V38">
        <v>13.37</v>
      </c>
      <c r="W38">
        <v>13.46</v>
      </c>
    </row>
    <row r="39" spans="2:23">
      <c r="B39" t="s">
        <v>20</v>
      </c>
      <c r="C39">
        <v>99.7</v>
      </c>
      <c r="D39">
        <v>98.9</v>
      </c>
      <c r="E39">
        <v>96.4</v>
      </c>
      <c r="F39">
        <v>94.3</v>
      </c>
      <c r="G39">
        <v>92.1</v>
      </c>
      <c r="H39">
        <v>89.5</v>
      </c>
      <c r="I39">
        <v>87.7</v>
      </c>
      <c r="J39">
        <v>86.2</v>
      </c>
      <c r="K39">
        <v>84.7</v>
      </c>
      <c r="L39">
        <v>82.7</v>
      </c>
      <c r="M39">
        <v>80.08</v>
      </c>
      <c r="N39">
        <v>77.2</v>
      </c>
      <c r="O39">
        <v>73.6</v>
      </c>
      <c r="P39">
        <v>70.3</v>
      </c>
      <c r="Q39">
        <v>61.5</v>
      </c>
      <c r="R39">
        <v>50.5</v>
      </c>
      <c r="S39">
        <v>42.7</v>
      </c>
      <c r="T39">
        <v>32.5</v>
      </c>
      <c r="U39">
        <v>26.2</v>
      </c>
      <c r="V39">
        <v>13.3</v>
      </c>
      <c r="W39">
        <v>6.7</v>
      </c>
    </row>
    <row r="40" spans="2:23">
      <c r="B40" t="s">
        <v>22</v>
      </c>
      <c r="C40">
        <v>0</v>
      </c>
      <c r="D40">
        <v>10</v>
      </c>
      <c r="E40">
        <v>30</v>
      </c>
      <c r="F40">
        <v>50</v>
      </c>
      <c r="G40">
        <v>70</v>
      </c>
      <c r="H40">
        <v>100</v>
      </c>
      <c r="I40">
        <v>120</v>
      </c>
      <c r="J40">
        <v>125</v>
      </c>
      <c r="K40">
        <v>130</v>
      </c>
      <c r="L40">
        <v>135</v>
      </c>
      <c r="M40">
        <v>140</v>
      </c>
      <c r="N40">
        <v>150</v>
      </c>
      <c r="O40">
        <v>160</v>
      </c>
      <c r="P40">
        <v>170</v>
      </c>
      <c r="Q40">
        <v>200</v>
      </c>
      <c r="R40">
        <v>250</v>
      </c>
      <c r="S40">
        <v>300</v>
      </c>
      <c r="T40">
        <v>400</v>
      </c>
      <c r="U40">
        <v>500</v>
      </c>
      <c r="V40">
        <v>1000</v>
      </c>
      <c r="W40">
        <v>2000</v>
      </c>
    </row>
    <row r="41" spans="2:23">
      <c r="B41" t="s">
        <v>23</v>
      </c>
      <c r="C41">
        <f>C38*C39</f>
        <v>4.985</v>
      </c>
      <c r="D41">
        <f t="shared" ref="D41:T41" si="2">D38*D39</f>
        <v>103.845</v>
      </c>
      <c r="E41">
        <f t="shared" si="2"/>
        <v>285.344</v>
      </c>
      <c r="F41">
        <f t="shared" si="2"/>
        <v>451.697</v>
      </c>
      <c r="G41">
        <f t="shared" si="2"/>
        <v>601.413</v>
      </c>
      <c r="H41">
        <f t="shared" si="2"/>
        <v>809.975</v>
      </c>
      <c r="I41">
        <f t="shared" si="2"/>
        <v>930.497</v>
      </c>
      <c r="J41">
        <f t="shared" si="2"/>
        <v>935.27</v>
      </c>
      <c r="K41">
        <f t="shared" si="2"/>
        <v>939.323</v>
      </c>
      <c r="L41">
        <f t="shared" si="2"/>
        <v>929.548</v>
      </c>
      <c r="M41">
        <f t="shared" si="2"/>
        <v>912.912</v>
      </c>
      <c r="N41">
        <f t="shared" si="2"/>
        <v>900.924</v>
      </c>
      <c r="O41">
        <f t="shared" si="2"/>
        <v>872.896</v>
      </c>
      <c r="P41">
        <f t="shared" si="2"/>
        <v>846.412</v>
      </c>
      <c r="Q41">
        <f t="shared" si="2"/>
        <v>761.37</v>
      </c>
      <c r="R41">
        <f t="shared" si="2"/>
        <v>641.35</v>
      </c>
      <c r="S41">
        <f t="shared" si="2"/>
        <v>549.976</v>
      </c>
      <c r="T41">
        <f t="shared" si="2"/>
        <v>425.1</v>
      </c>
      <c r="U41">
        <f>U38*U39</f>
        <v>345.316</v>
      </c>
      <c r="V41">
        <f>V38*V39</f>
        <v>177.821</v>
      </c>
      <c r="W41">
        <f>W38*W39</f>
        <v>90.182</v>
      </c>
    </row>
    <row r="42" spans="1:8">
      <c r="A42" t="s">
        <v>24</v>
      </c>
      <c r="B42" t="s">
        <v>25</v>
      </c>
      <c r="C42" t="s">
        <v>26</v>
      </c>
      <c r="D42">
        <v>0</v>
      </c>
      <c r="E42" s="3">
        <f>3/24</f>
        <v>0.125</v>
      </c>
      <c r="F42" s="3">
        <f>E42+0.125</f>
        <v>0.25</v>
      </c>
      <c r="G42" s="3">
        <v>0.5</v>
      </c>
      <c r="H42" s="3">
        <v>0.75</v>
      </c>
    </row>
    <row r="43" spans="3:8">
      <c r="C43" t="s">
        <v>20</v>
      </c>
      <c r="D43">
        <v>100.5</v>
      </c>
      <c r="E43">
        <v>21.5</v>
      </c>
      <c r="F43">
        <v>5.1</v>
      </c>
      <c r="G43">
        <v>0.6</v>
      </c>
      <c r="H43">
        <v>0.1</v>
      </c>
    </row>
    <row r="44" spans="2:8">
      <c r="B44" t="s">
        <v>27</v>
      </c>
      <c r="C44" t="s">
        <v>26</v>
      </c>
      <c r="F44" s="3">
        <v>0.25</v>
      </c>
      <c r="G44" s="3">
        <v>0.5</v>
      </c>
      <c r="H44" s="3">
        <v>0.75</v>
      </c>
    </row>
    <row r="45" spans="3:8">
      <c r="C45" t="s">
        <v>20</v>
      </c>
      <c r="F45">
        <v>75.7</v>
      </c>
      <c r="G45">
        <v>50.8</v>
      </c>
      <c r="H45">
        <v>25.5</v>
      </c>
    </row>
    <row r="46" spans="1:2">
      <c r="A46" t="s">
        <v>28</v>
      </c>
      <c r="B46" t="s">
        <v>29</v>
      </c>
    </row>
    <row r="47" spans="2:10">
      <c r="B47" t="s">
        <v>30</v>
      </c>
      <c r="C47">
        <v>0</v>
      </c>
      <c r="D47">
        <v>30</v>
      </c>
      <c r="E47">
        <v>60</v>
      </c>
      <c r="F47">
        <v>90</v>
      </c>
      <c r="G47">
        <v>120</v>
      </c>
      <c r="H47">
        <v>150</v>
      </c>
      <c r="I47">
        <v>180</v>
      </c>
      <c r="J47">
        <v>202</v>
      </c>
    </row>
    <row r="48" spans="2:10">
      <c r="B48" t="s">
        <v>20</v>
      </c>
      <c r="C48">
        <v>94.5</v>
      </c>
      <c r="D48">
        <v>93.1</v>
      </c>
      <c r="E48">
        <v>91.8</v>
      </c>
      <c r="F48" s="2">
        <v>91</v>
      </c>
      <c r="G48">
        <v>90.1</v>
      </c>
      <c r="H48">
        <v>89.4</v>
      </c>
      <c r="I48">
        <v>88.1</v>
      </c>
      <c r="J48">
        <v>84.9</v>
      </c>
    </row>
    <row r="49" spans="2:10">
      <c r="B49" t="s">
        <v>3</v>
      </c>
      <c r="C49">
        <v>4.88</v>
      </c>
      <c r="D49">
        <v>6.04</v>
      </c>
      <c r="E49">
        <v>7.09</v>
      </c>
      <c r="F49">
        <v>8.05</v>
      </c>
      <c r="G49">
        <v>8.93</v>
      </c>
      <c r="H49">
        <v>9.74</v>
      </c>
      <c r="I49">
        <v>10.49</v>
      </c>
      <c r="J49">
        <v>10.98</v>
      </c>
    </row>
    <row r="50" spans="2:10">
      <c r="B50" t="s">
        <v>23</v>
      </c>
      <c r="C50">
        <f>C48*C49</f>
        <v>461.16</v>
      </c>
      <c r="D50">
        <f t="shared" ref="D50:J50" si="3">D48*D49</f>
        <v>562.324</v>
      </c>
      <c r="E50">
        <f t="shared" si="3"/>
        <v>650.862</v>
      </c>
      <c r="F50">
        <f t="shared" si="3"/>
        <v>732.55</v>
      </c>
      <c r="G50">
        <f t="shared" si="3"/>
        <v>804.593</v>
      </c>
      <c r="H50">
        <f t="shared" si="3"/>
        <v>870.756</v>
      </c>
      <c r="I50">
        <f t="shared" si="3"/>
        <v>924.169</v>
      </c>
      <c r="J50">
        <f t="shared" si="3"/>
        <v>932.202</v>
      </c>
    </row>
    <row r="51" spans="2:2">
      <c r="B51" t="s">
        <v>31</v>
      </c>
    </row>
    <row r="52" spans="2:13">
      <c r="B52" t="s">
        <v>30</v>
      </c>
      <c r="C52">
        <v>0</v>
      </c>
      <c r="D52">
        <v>30</v>
      </c>
      <c r="E52">
        <v>60</v>
      </c>
      <c r="F52">
        <v>90</v>
      </c>
      <c r="G52">
        <v>120</v>
      </c>
      <c r="H52">
        <v>150</v>
      </c>
      <c r="I52">
        <v>180</v>
      </c>
      <c r="J52">
        <v>210</v>
      </c>
      <c r="K52">
        <v>240</v>
      </c>
      <c r="L52">
        <v>270</v>
      </c>
      <c r="M52">
        <v>291</v>
      </c>
    </row>
    <row r="53" spans="2:13">
      <c r="B53" t="s">
        <v>20</v>
      </c>
      <c r="C53">
        <v>166.9</v>
      </c>
      <c r="D53">
        <v>113.7</v>
      </c>
      <c r="E53">
        <v>94.9</v>
      </c>
      <c r="F53">
        <v>84.1</v>
      </c>
      <c r="G53">
        <v>76.6</v>
      </c>
      <c r="H53">
        <v>71.2</v>
      </c>
      <c r="I53">
        <v>66.6</v>
      </c>
      <c r="J53" s="2">
        <v>63</v>
      </c>
      <c r="K53">
        <v>59.9</v>
      </c>
      <c r="L53">
        <v>57.5</v>
      </c>
      <c r="M53">
        <v>56.2</v>
      </c>
    </row>
    <row r="54" spans="2:13">
      <c r="B54" t="s">
        <v>3</v>
      </c>
      <c r="C54">
        <v>3.38</v>
      </c>
      <c r="D54">
        <v>5.22</v>
      </c>
      <c r="E54">
        <v>6.33</v>
      </c>
      <c r="F54">
        <v>7.22</v>
      </c>
      <c r="G54">
        <v>7.99</v>
      </c>
      <c r="H54">
        <v>8.6</v>
      </c>
      <c r="I54">
        <v>9.25</v>
      </c>
      <c r="J54">
        <v>9.78</v>
      </c>
      <c r="K54">
        <v>10.28</v>
      </c>
      <c r="L54">
        <v>10.47</v>
      </c>
      <c r="M54" s="1">
        <v>11</v>
      </c>
    </row>
    <row r="55" spans="2:13">
      <c r="B55" t="s">
        <v>23</v>
      </c>
      <c r="C55">
        <f>C54*C53</f>
        <v>564.122</v>
      </c>
      <c r="D55">
        <f t="shared" ref="D55:M55" si="4">D54*D53</f>
        <v>593.514</v>
      </c>
      <c r="E55">
        <f t="shared" si="4"/>
        <v>600.717</v>
      </c>
      <c r="F55">
        <f t="shared" si="4"/>
        <v>607.202</v>
      </c>
      <c r="G55">
        <f t="shared" si="4"/>
        <v>612.034</v>
      </c>
      <c r="H55">
        <f t="shared" si="4"/>
        <v>612.32</v>
      </c>
      <c r="I55">
        <f t="shared" si="4"/>
        <v>616.05</v>
      </c>
      <c r="J55">
        <f t="shared" si="4"/>
        <v>616.14</v>
      </c>
      <c r="K55">
        <f t="shared" si="4"/>
        <v>615.772</v>
      </c>
      <c r="L55">
        <f t="shared" si="4"/>
        <v>602.025</v>
      </c>
      <c r="M55">
        <f t="shared" si="4"/>
        <v>618.2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2025-06-06T07:48:57Z</dcterms:created>
  <dcterms:modified xsi:type="dcterms:W3CDTF">2025-06-06T11:27:55Z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72D0EA9484534F2E964D9CF8D8A0D174</vt:lpwstr>
  </property>
  <property fmtid="{D5CDD505-2E9C-101B-9397-08002B2CF9AE}" pid="3" name="KSOProductBuildVer">
    <vt:lpwstr>2052-11.8.2.11500</vt:lpwstr>
  </property>
</Properties>
</file>